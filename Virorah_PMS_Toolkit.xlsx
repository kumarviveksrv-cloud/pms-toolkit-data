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mployee Data" sheetId="2" state="visible" r:id="rId2"/>
    <sheet xmlns:r="http://schemas.openxmlformats.org/officeDocument/2006/relationships" name="Bell Curve" sheetId="3" state="visible" r:id="rId3"/>
    <sheet xmlns:r="http://schemas.openxmlformats.org/officeDocument/2006/relationships" name="9-Box Grid" sheetId="4" state="visible" r:id="rId4"/>
    <sheet xmlns:r="http://schemas.openxmlformats.org/officeDocument/2006/relationships" name="Increment Calculator" sheetId="5" state="visible" r:id="rId5"/>
    <sheet xmlns:r="http://schemas.openxmlformats.org/officeDocument/2006/relationships" name="Compa-Ratio" sheetId="6" state="visible" r:id="rId6"/>
    <sheet xmlns:r="http://schemas.openxmlformats.org/officeDocument/2006/relationships" name="Flight Risk" sheetId="7" state="visible" r:id="rId7"/>
    <sheet xmlns:r="http://schemas.openxmlformats.org/officeDocument/2006/relationships" name="Succession Planning" sheetId="8" state="visible" r:id="rId8"/>
    <sheet xmlns:r="http://schemas.openxmlformats.org/officeDocument/2006/relationships" name="DEI Analytics" sheetId="9" state="visible" r:id="rId9"/>
    <sheet xmlns:r="http://schemas.openxmlformats.org/officeDocument/2006/relationships" name="Manager Dashboard" sheetId="10" state="visible" r:id="rId10"/>
    <sheet xmlns:r="http://schemas.openxmlformats.org/officeDocument/2006/relationships" name="Calibration Engine" sheetId="11" state="visible" r:id="rId11"/>
    <sheet xmlns:r="http://schemas.openxmlformats.org/officeDocument/2006/relationships" name="OKR Tracker" sheetId="12" state="visible" r:id="rId12"/>
    <sheet xmlns:r="http://schemas.openxmlformats.org/officeDocument/2006/relationships" name="PIP Tracker" sheetId="13" state="visible" r:id="rId13"/>
    <sheet xmlns:r="http://schemas.openxmlformats.org/officeDocument/2006/relationships" name="Balanced Scorecard" sheetId="14" state="visible" r:id="rId14"/>
    <sheet xmlns:r="http://schemas.openxmlformats.org/officeDocument/2006/relationships" name="Org Planner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+0.0%;-0.0%;0.0%"/>
    <numFmt numFmtId="166" formatCode="0.0"/>
    <numFmt numFmtId="167" formatCode="0.00x"/>
    <numFmt numFmtId="168" formatCode="+#,##0;-#,##0;0"/>
    <numFmt numFmtId="169" formatCode="+0.0%;-0.0%"/>
  </numFmts>
  <fonts count="2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6B7280"/>
      <sz val="9"/>
    </font>
    <font>
      <name val="Arial"/>
      <b val="1"/>
      <color rgb="00FFFFFF"/>
      <sz val="16"/>
    </font>
    <font>
      <name val="Arial"/>
      <color rgb="006B7280"/>
      <sz val="10"/>
    </font>
    <font>
      <name val="Arial"/>
      <b val="1"/>
      <color rgb="00FFFFFF"/>
      <sz val="11"/>
    </font>
    <font>
      <name val="Arial"/>
      <color rgb="001F2937"/>
      <sz val="10"/>
    </font>
    <font>
      <name val="Arial"/>
      <b val="1"/>
      <color rgb="00667EEA"/>
      <sz val="10"/>
    </font>
    <font>
      <name val="Arial"/>
      <b val="1"/>
      <color rgb="00FFFFFF"/>
      <sz val="12"/>
    </font>
    <font>
      <name val="Arial"/>
      <b val="1"/>
      <color rgb="00065F46"/>
      <sz val="9"/>
    </font>
    <font>
      <name val="Arial"/>
      <b val="1"/>
      <color rgb="00FFFFFF"/>
      <sz val="9"/>
    </font>
    <font>
      <name val="Arial"/>
      <i val="1"/>
      <color rgb="006B7280"/>
      <sz val="9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color rgb="000000FF"/>
      <sz val="10"/>
    </font>
    <font>
      <name val="Arial"/>
      <b val="1"/>
      <color rgb="001F2937"/>
      <sz val="10"/>
    </font>
    <font>
      <name val="Arial"/>
      <color rgb="00007B55"/>
      <sz val="10"/>
    </font>
    <font>
      <name val="Arial"/>
      <b val="1"/>
      <color rgb="006B7280"/>
      <sz val="9"/>
    </font>
    <font>
      <name val="Arial"/>
      <b val="1"/>
      <color rgb="001F2937"/>
      <sz val="9"/>
    </font>
    <font>
      <name val="Arial"/>
      <b val="1"/>
      <color rgb="001F2937"/>
      <sz val="14"/>
    </font>
    <font>
      <name val="Arial"/>
      <b val="1"/>
      <color rgb="000000FF"/>
      <sz val="10"/>
    </font>
    <font>
      <name val="Arial"/>
      <color rgb="001F2937"/>
      <sz val="9"/>
    </font>
    <font>
      <name val="Arial"/>
      <color rgb="00007B55"/>
      <sz val="9"/>
    </font>
    <font>
      <name val="Arial"/>
      <color rgb="000000FF"/>
      <sz val="9"/>
    </font>
    <font>
      <name val="Arial"/>
      <b val="1"/>
      <color rgb="00667EEA"/>
      <sz val="14"/>
    </font>
  </fonts>
  <fills count="15">
    <fill>
      <patternFill/>
    </fill>
    <fill>
      <patternFill patternType="gray125"/>
    </fill>
    <fill>
      <patternFill patternType="solid">
        <fgColor rgb="00764BA2"/>
      </patternFill>
    </fill>
    <fill>
      <patternFill patternType="solid">
        <fgColor rgb="00EEF0FD"/>
      </patternFill>
    </fill>
    <fill>
      <patternFill patternType="solid">
        <fgColor rgb="00FFFFFF"/>
      </patternFill>
    </fill>
    <fill>
      <patternFill patternType="solid">
        <fgColor rgb="00667EEA"/>
      </patternFill>
    </fill>
    <fill>
      <patternFill patternType="solid">
        <fgColor rgb="00F8F7FF"/>
      </patternFill>
    </fill>
    <fill>
      <patternFill patternType="solid">
        <fgColor rgb="00D1FAE5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EFF6FF"/>
      </patternFill>
    </fill>
    <fill>
      <patternFill patternType="solid">
        <fgColor rgb="00C7D0FA"/>
      </patternFill>
    </fill>
    <fill>
      <patternFill patternType="solid">
        <fgColor rgb="00FEFCE8"/>
      </patternFill>
    </fill>
    <fill>
      <patternFill patternType="solid">
        <fgColor rgb="00E0F2FE"/>
      </patternFill>
    </fill>
    <fill>
      <patternFill patternType="solid">
        <fgColor rgb="00DCFCE7"/>
      </patternFill>
    </fill>
  </fills>
  <borders count="6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/>
      <right/>
      <top style="thin">
        <color rgb="00E5E7EB"/>
      </top>
      <bottom style="thin">
        <color rgb="00E5E7EB"/>
      </bottom>
      <diagonal/>
    </border>
    <border>
      <left/>
      <right style="thin">
        <color rgb="00E5E7EB"/>
      </right>
      <top style="thin">
        <color rgb="00E5E7EB"/>
      </top>
      <bottom style="thin">
        <color rgb="00E5E7EB"/>
      </bottom>
      <diagonal/>
    </border>
  </borders>
  <cellStyleXfs count="1">
    <xf numFmtId="0" fontId="0" fillId="0" borderId="0"/>
  </cellStyleXfs>
  <cellXfs count="139">
    <xf numFmtId="0" fontId="0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5" fillId="5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9" fillId="7" borderId="0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11" fillId="8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1" fontId="6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164" fontId="6" fillId="9" borderId="1" applyAlignment="1" pivotButton="0" quotePrefix="0" xfId="0">
      <alignment horizontal="center" vertical="center" wrapText="1"/>
    </xf>
    <xf numFmtId="165" fontId="6" fillId="9" borderId="1" applyAlignment="1" pivotButton="0" quotePrefix="0" xfId="0">
      <alignment horizontal="center" vertical="center" wrapText="1"/>
    </xf>
    <xf numFmtId="1" fontId="6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164" fontId="6" fillId="8" borderId="1" applyAlignment="1" pivotButton="0" quotePrefix="0" xfId="0">
      <alignment horizontal="center" vertical="center" wrapText="1"/>
    </xf>
    <xf numFmtId="165" fontId="6" fillId="8" borderId="1" applyAlignment="1" pivotButton="0" quotePrefix="0" xfId="0">
      <alignment horizontal="center" vertical="center" wrapText="1"/>
    </xf>
    <xf numFmtId="1" fontId="6" fillId="1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164" fontId="6" fillId="10" borderId="1" applyAlignment="1" pivotButton="0" quotePrefix="0" xfId="0">
      <alignment horizontal="center" vertical="center" wrapText="1"/>
    </xf>
    <xf numFmtId="165" fontId="6" fillId="10" borderId="1" applyAlignment="1" pivotButton="0" quotePrefix="0" xfId="0">
      <alignment horizontal="center" vertical="center" wrapText="1"/>
    </xf>
    <xf numFmtId="1" fontId="6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164" fontId="6" fillId="7" borderId="1" applyAlignment="1" pivotButton="0" quotePrefix="0" xfId="0">
      <alignment horizontal="center" vertical="center" wrapText="1"/>
    </xf>
    <xf numFmtId="165" fontId="6" fillId="7" borderId="1" applyAlignment="1" pivotButton="0" quotePrefix="0" xfId="0">
      <alignment horizontal="center" vertical="center" wrapText="1"/>
    </xf>
    <xf numFmtId="0" fontId="15" fillId="11" borderId="1" applyAlignment="1" pivotButton="0" quotePrefix="0" xfId="0">
      <alignment horizontal="center" vertical="center" wrapText="1"/>
    </xf>
    <xf numFmtId="164" fontId="15" fillId="11" borderId="1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left" vertical="center" wrapText="1"/>
    </xf>
    <xf numFmtId="0" fontId="16" fillId="6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5" fillId="4" borderId="1" applyAlignment="1" pivotButton="0" quotePrefix="0" xfId="0">
      <alignment horizontal="left" vertical="center" wrapText="1"/>
    </xf>
    <xf numFmtId="166" fontId="16" fillId="4" borderId="1" applyAlignment="1" pivotButton="0" quotePrefix="0" xfId="0">
      <alignment horizontal="center" vertical="center" wrapText="1"/>
    </xf>
    <xf numFmtId="164" fontId="16" fillId="4" borderId="1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 wrapText="1"/>
    </xf>
    <xf numFmtId="0" fontId="10" fillId="5" borderId="0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 wrapText="1"/>
    </xf>
    <xf numFmtId="0" fontId="18" fillId="11" borderId="1" applyAlignment="1" pivotButton="0" quotePrefix="0" xfId="0">
      <alignment horizontal="center" vertical="center" wrapText="1"/>
    </xf>
    <xf numFmtId="0" fontId="19" fillId="3" borderId="1" applyAlignment="1" pivotButton="0" quotePrefix="0" xfId="0">
      <alignment horizontal="center" vertical="center" wrapText="1"/>
    </xf>
    <xf numFmtId="0" fontId="19" fillId="7" borderId="1" applyAlignment="1" pivotButton="0" quotePrefix="0" xfId="0">
      <alignment horizontal="center" vertical="center" wrapText="1"/>
    </xf>
    <xf numFmtId="0" fontId="19" fillId="9" borderId="1" applyAlignment="1" pivotButton="0" quotePrefix="0" xfId="0">
      <alignment horizontal="center" vertical="center" wrapText="1"/>
    </xf>
    <xf numFmtId="0" fontId="19" fillId="10" borderId="1" applyAlignment="1" pivotButton="0" quotePrefix="0" xfId="0">
      <alignment horizontal="center" vertical="center" wrapText="1"/>
    </xf>
    <xf numFmtId="164" fontId="16" fillId="6" borderId="1" applyAlignment="1" pivotButton="0" quotePrefix="0" xfId="0">
      <alignment horizontal="center" vertical="center" wrapText="1"/>
    </xf>
    <xf numFmtId="0" fontId="13" fillId="5" borderId="0" applyAlignment="1" pivotButton="0" quotePrefix="0" xfId="0">
      <alignment horizontal="left" vertical="center" wrapText="1"/>
    </xf>
    <xf numFmtId="0" fontId="15" fillId="6" borderId="1" pivotButton="0" quotePrefix="0" xfId="0"/>
    <xf numFmtId="164" fontId="20" fillId="12" borderId="1" applyAlignment="1" pivotButton="0" quotePrefix="0" xfId="0">
      <alignment horizontal="center" vertical="center" wrapText="1"/>
    </xf>
    <xf numFmtId="0" fontId="11" fillId="0" borderId="1" pivotButton="0" quotePrefix="0" xfId="0"/>
    <xf numFmtId="3" fontId="16" fillId="6" borderId="1" applyAlignment="1" pivotButton="0" quotePrefix="0" xfId="0">
      <alignment horizontal="center" vertical="center" wrapText="1"/>
    </xf>
    <xf numFmtId="3" fontId="16" fillId="4" borderId="1" applyAlignment="1" pivotButton="0" quotePrefix="0" xfId="0">
      <alignment horizontal="center" vertical="center" wrapText="1"/>
    </xf>
    <xf numFmtId="0" fontId="22" fillId="6" borderId="1" applyAlignment="1" pivotButton="0" quotePrefix="0" xfId="0">
      <alignment horizontal="left" vertical="center" wrapText="1"/>
    </xf>
    <xf numFmtId="3" fontId="21" fillId="6" borderId="1" applyAlignment="1" pivotButton="0" quotePrefix="0" xfId="0">
      <alignment horizontal="left" vertical="center" wrapText="1"/>
    </xf>
    <xf numFmtId="0" fontId="21" fillId="6" borderId="1" applyAlignment="1" pivotButton="0" quotePrefix="0" xfId="0">
      <alignment horizontal="left" vertical="center" wrapText="1"/>
    </xf>
    <xf numFmtId="164" fontId="21" fillId="6" borderId="1" applyAlignment="1" pivotButton="0" quotePrefix="0" xfId="0">
      <alignment horizontal="center" vertical="center" wrapText="1"/>
    </xf>
    <xf numFmtId="3" fontId="21" fillId="6" borderId="1" applyAlignment="1" pivotButton="0" quotePrefix="0" xfId="0">
      <alignment horizontal="center" vertical="center" wrapText="1"/>
    </xf>
    <xf numFmtId="0" fontId="22" fillId="4" borderId="1" applyAlignment="1" pivotButton="0" quotePrefix="0" xfId="0">
      <alignment horizontal="left" vertical="center" wrapText="1"/>
    </xf>
    <xf numFmtId="3" fontId="21" fillId="4" borderId="1" applyAlignment="1" pivotButton="0" quotePrefix="0" xfId="0">
      <alignment horizontal="left" vertical="center" wrapText="1"/>
    </xf>
    <xf numFmtId="0" fontId="21" fillId="4" borderId="1" applyAlignment="1" pivotButton="0" quotePrefix="0" xfId="0">
      <alignment horizontal="left" vertical="center" wrapText="1"/>
    </xf>
    <xf numFmtId="164" fontId="21" fillId="4" borderId="1" applyAlignment="1" pivotButton="0" quotePrefix="0" xfId="0">
      <alignment horizontal="center" vertical="center" wrapText="1"/>
    </xf>
    <xf numFmtId="3" fontId="21" fillId="4" borderId="1" applyAlignment="1" pivotButton="0" quotePrefix="0" xfId="0">
      <alignment horizontal="center" vertical="center" wrapText="1"/>
    </xf>
    <xf numFmtId="2" fontId="21" fillId="6" borderId="1" applyAlignment="1" pivotButton="0" quotePrefix="0" xfId="0">
      <alignment horizontal="center" vertical="center" wrapText="1"/>
    </xf>
    <xf numFmtId="0" fontId="21" fillId="6" borderId="1" applyAlignment="1" pivotButton="0" quotePrefix="0" xfId="0">
      <alignment horizontal="center" vertical="center" wrapText="1"/>
    </xf>
    <xf numFmtId="9" fontId="21" fillId="6" borderId="1" applyAlignment="1" pivotButton="0" quotePrefix="0" xfId="0">
      <alignment horizontal="left" vertical="center" wrapText="1"/>
    </xf>
    <xf numFmtId="2" fontId="21" fillId="4" borderId="1" applyAlignment="1" pivotButton="0" quotePrefix="0" xfId="0">
      <alignment horizontal="center" vertical="center" wrapText="1"/>
    </xf>
    <xf numFmtId="0" fontId="21" fillId="4" borderId="1" applyAlignment="1" pivotButton="0" quotePrefix="0" xfId="0">
      <alignment horizontal="center" vertical="center" wrapText="1"/>
    </xf>
    <xf numFmtId="9" fontId="21" fillId="4" borderId="1" applyAlignment="1" pivotButton="0" quotePrefix="0" xfId="0">
      <alignment horizontal="left" vertical="center" wrapText="1"/>
    </xf>
    <xf numFmtId="2" fontId="21" fillId="6" borderId="1" applyAlignment="1" pivotButton="0" quotePrefix="0" xfId="0">
      <alignment horizontal="left" vertical="center" wrapText="1"/>
    </xf>
    <xf numFmtId="2" fontId="21" fillId="4" borderId="1" applyAlignment="1" pivotButton="0" quotePrefix="0" xfId="0">
      <alignment horizontal="left" vertical="center" wrapText="1"/>
    </xf>
    <xf numFmtId="0" fontId="10" fillId="5" borderId="0" pivotButton="0" quotePrefix="0" xfId="0"/>
    <xf numFmtId="0" fontId="16" fillId="0" borderId="0" pivotButton="0" quotePrefix="0" xfId="0"/>
    <xf numFmtId="0" fontId="15" fillId="6" borderId="1" applyAlignment="1" pivotButton="0" quotePrefix="0" xfId="0">
      <alignment horizontal="center" vertical="center" wrapText="1"/>
    </xf>
    <xf numFmtId="0" fontId="22" fillId="6" borderId="1" applyAlignment="1" pivotButton="0" quotePrefix="0" xfId="0">
      <alignment horizontal="center" vertical="center" wrapText="1"/>
    </xf>
    <xf numFmtId="164" fontId="22" fillId="6" borderId="1" applyAlignment="1" pivotButton="0" quotePrefix="0" xfId="0">
      <alignment horizontal="center" vertical="center" wrapText="1"/>
    </xf>
    <xf numFmtId="2" fontId="22" fillId="6" borderId="1" applyAlignment="1" pivotButton="0" quotePrefix="0" xfId="0">
      <alignment horizontal="center" vertical="center" wrapText="1"/>
    </xf>
    <xf numFmtId="3" fontId="22" fillId="6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center" vertical="center" wrapText="1"/>
    </xf>
    <xf numFmtId="0" fontId="22" fillId="4" borderId="1" applyAlignment="1" pivotButton="0" quotePrefix="0" xfId="0">
      <alignment horizontal="center" vertical="center" wrapText="1"/>
    </xf>
    <xf numFmtId="164" fontId="22" fillId="4" borderId="1" applyAlignment="1" pivotButton="0" quotePrefix="0" xfId="0">
      <alignment horizontal="center" vertical="center" wrapText="1"/>
    </xf>
    <xf numFmtId="2" fontId="22" fillId="4" borderId="1" applyAlignment="1" pivotButton="0" quotePrefix="0" xfId="0">
      <alignment horizontal="center" vertical="center" wrapText="1"/>
    </xf>
    <xf numFmtId="3" fontId="22" fillId="4" borderId="1" applyAlignment="1" pivotButton="0" quotePrefix="0" xfId="0">
      <alignment horizontal="center" vertical="center" wrapText="1"/>
    </xf>
    <xf numFmtId="0" fontId="13" fillId="5" borderId="0" pivotButton="0" quotePrefix="0" xfId="0"/>
    <xf numFmtId="166" fontId="22" fillId="6" borderId="1" applyAlignment="1" pivotButton="0" quotePrefix="0" xfId="0">
      <alignment horizontal="center" vertical="center" wrapText="1"/>
    </xf>
    <xf numFmtId="166" fontId="22" fillId="4" borderId="1" applyAlignment="1" pivotButton="0" quotePrefix="0" xfId="0">
      <alignment horizontal="center" vertical="center" wrapText="1"/>
    </xf>
    <xf numFmtId="166" fontId="18" fillId="11" borderId="1" applyAlignment="1" pivotButton="0" quotePrefix="0" xfId="0">
      <alignment horizontal="center" vertical="center" wrapText="1"/>
    </xf>
    <xf numFmtId="3" fontId="18" fillId="11" borderId="1" applyAlignment="1" pivotButton="0" quotePrefix="0" xfId="0">
      <alignment horizontal="center" vertical="center" wrapText="1"/>
    </xf>
    <xf numFmtId="9" fontId="21" fillId="6" borderId="1" applyAlignment="1" pivotButton="0" quotePrefix="0" xfId="0">
      <alignment horizontal="center" vertical="center" wrapText="1"/>
    </xf>
    <xf numFmtId="9" fontId="21" fillId="4" borderId="1" applyAlignment="1" pivotButton="0" quotePrefix="0" xfId="0">
      <alignment horizontal="center" vertical="center" wrapText="1"/>
    </xf>
    <xf numFmtId="1" fontId="21" fillId="6" borderId="1" applyAlignment="1" pivotButton="0" quotePrefix="0" xfId="0">
      <alignment horizontal="left" vertical="center" wrapText="1"/>
    </xf>
    <xf numFmtId="1" fontId="21" fillId="4" borderId="1" applyAlignment="1" pivotButton="0" quotePrefix="0" xfId="0">
      <alignment horizontal="left" vertical="center" wrapText="1"/>
    </xf>
    <xf numFmtId="0" fontId="0" fillId="6" borderId="1" pivotButton="0" quotePrefix="0" xfId="0"/>
    <xf numFmtId="1" fontId="22" fillId="6" borderId="1" pivotButton="0" quotePrefix="0" xfId="0"/>
    <xf numFmtId="0" fontId="0" fillId="4" borderId="1" pivotButton="0" quotePrefix="0" xfId="0"/>
    <xf numFmtId="1" fontId="22" fillId="4" borderId="1" pivotButton="0" quotePrefix="0" xfId="0"/>
    <xf numFmtId="0" fontId="15" fillId="3" borderId="1" applyAlignment="1" pivotButton="0" quotePrefix="0" xfId="0">
      <alignment horizontal="center" vertical="center" wrapText="1"/>
    </xf>
    <xf numFmtId="0" fontId="21" fillId="3" borderId="1" applyAlignment="1" pivotButton="0" quotePrefix="0" xfId="0">
      <alignment horizontal="left" vertical="center" wrapText="1"/>
    </xf>
    <xf numFmtId="9" fontId="21" fillId="3" borderId="1" applyAlignment="1" pivotButton="0" quotePrefix="0" xfId="0">
      <alignment horizontal="center" vertical="center" wrapText="1"/>
    </xf>
    <xf numFmtId="0" fontId="21" fillId="3" borderId="1" applyAlignment="1" pivotButton="0" quotePrefix="0" xfId="0">
      <alignment horizontal="center" vertical="center" wrapText="1"/>
    </xf>
    <xf numFmtId="166" fontId="22" fillId="3" borderId="1" applyAlignment="1" pivotButton="0" quotePrefix="0" xfId="0">
      <alignment horizontal="center" vertical="center" wrapText="1"/>
    </xf>
    <xf numFmtId="2" fontId="22" fillId="3" borderId="1" applyAlignment="1" pivotButton="0" quotePrefix="0" xfId="0">
      <alignment horizontal="center" vertical="center" wrapText="1"/>
    </xf>
    <xf numFmtId="0" fontId="15" fillId="13" borderId="1" applyAlignment="1" pivotButton="0" quotePrefix="0" xfId="0">
      <alignment horizontal="center" vertical="center" wrapText="1"/>
    </xf>
    <xf numFmtId="0" fontId="21" fillId="13" borderId="1" applyAlignment="1" pivotButton="0" quotePrefix="0" xfId="0">
      <alignment horizontal="left" vertical="center" wrapText="1"/>
    </xf>
    <xf numFmtId="9" fontId="21" fillId="13" borderId="1" applyAlignment="1" pivotButton="0" quotePrefix="0" xfId="0">
      <alignment horizontal="center" vertical="center" wrapText="1"/>
    </xf>
    <xf numFmtId="0" fontId="21" fillId="13" borderId="1" applyAlignment="1" pivotButton="0" quotePrefix="0" xfId="0">
      <alignment horizontal="center" vertical="center" wrapText="1"/>
    </xf>
    <xf numFmtId="166" fontId="22" fillId="13" borderId="1" applyAlignment="1" pivotButton="0" quotePrefix="0" xfId="0">
      <alignment horizontal="center" vertical="center" wrapText="1"/>
    </xf>
    <xf numFmtId="2" fontId="22" fillId="13" borderId="1" applyAlignment="1" pivotButton="0" quotePrefix="0" xfId="0">
      <alignment horizontal="center" vertical="center" wrapText="1"/>
    </xf>
    <xf numFmtId="0" fontId="15" fillId="14" borderId="1" applyAlignment="1" pivotButton="0" quotePrefix="0" xfId="0">
      <alignment horizontal="center" vertical="center" wrapText="1"/>
    </xf>
    <xf numFmtId="0" fontId="21" fillId="14" borderId="1" applyAlignment="1" pivotButton="0" quotePrefix="0" xfId="0">
      <alignment horizontal="left" vertical="center" wrapText="1"/>
    </xf>
    <xf numFmtId="9" fontId="21" fillId="14" borderId="1" applyAlignment="1" pivotButton="0" quotePrefix="0" xfId="0">
      <alignment horizontal="center" vertical="center" wrapText="1"/>
    </xf>
    <xf numFmtId="0" fontId="21" fillId="14" borderId="1" applyAlignment="1" pivotButton="0" quotePrefix="0" xfId="0">
      <alignment horizontal="center" vertical="center" wrapText="1"/>
    </xf>
    <xf numFmtId="166" fontId="22" fillId="14" borderId="1" applyAlignment="1" pivotButton="0" quotePrefix="0" xfId="0">
      <alignment horizontal="center" vertical="center" wrapText="1"/>
    </xf>
    <xf numFmtId="2" fontId="22" fillId="14" borderId="1" applyAlignment="1" pivotButton="0" quotePrefix="0" xfId="0">
      <alignment horizontal="center" vertical="center" wrapText="1"/>
    </xf>
    <xf numFmtId="0" fontId="15" fillId="8" borderId="1" applyAlignment="1" pivotButton="0" quotePrefix="0" xfId="0">
      <alignment horizontal="center" vertical="center" wrapText="1"/>
    </xf>
    <xf numFmtId="0" fontId="21" fillId="8" borderId="1" applyAlignment="1" pivotButton="0" quotePrefix="0" xfId="0">
      <alignment horizontal="left" vertical="center" wrapText="1"/>
    </xf>
    <xf numFmtId="9" fontId="21" fillId="8" borderId="1" applyAlignment="1" pivotButton="0" quotePrefix="0" xfId="0">
      <alignment horizontal="center" vertical="center" wrapText="1"/>
    </xf>
    <xf numFmtId="0" fontId="21" fillId="8" borderId="1" applyAlignment="1" pivotButton="0" quotePrefix="0" xfId="0">
      <alignment horizontal="center" vertical="center" wrapText="1"/>
    </xf>
    <xf numFmtId="166" fontId="22" fillId="8" borderId="1" applyAlignment="1" pivotButton="0" quotePrefix="0" xfId="0">
      <alignment horizontal="center" vertical="center" wrapText="1"/>
    </xf>
    <xf numFmtId="2" fontId="22" fillId="8" borderId="1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2" fontId="24" fillId="11" borderId="0" applyAlignment="1" pivotButton="0" quotePrefix="0" xfId="0">
      <alignment horizontal="center" vertical="center" wrapText="1"/>
    </xf>
    <xf numFmtId="9" fontId="14" fillId="12" borderId="1" applyAlignment="1" pivotButton="0" quotePrefix="0" xfId="0">
      <alignment horizontal="center" vertical="center" wrapText="1"/>
    </xf>
    <xf numFmtId="167" fontId="14" fillId="12" borderId="1" applyAlignment="1" pivotButton="0" quotePrefix="0" xfId="0">
      <alignment horizontal="center" vertical="center" wrapText="1"/>
    </xf>
    <xf numFmtId="1" fontId="14" fillId="12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center" vertical="center" wrapText="1"/>
    </xf>
    <xf numFmtId="0" fontId="18" fillId="11" borderId="1" applyAlignment="1" pivotButton="0" quotePrefix="0" xfId="0">
      <alignment horizontal="left" vertical="center" wrapText="1"/>
    </xf>
    <xf numFmtId="0" fontId="15" fillId="8" borderId="1" pivotButton="0" quotePrefix="0" xfId="0"/>
    <xf numFmtId="168" fontId="16" fillId="8" borderId="1" pivotButton="0" quotePrefix="0" xfId="0"/>
    <xf numFmtId="169" fontId="16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64BA2"/>
    <outlinePr summaryBelow="1" summaryRight="1"/>
    <pageSetUpPr/>
  </sheetPr>
  <dimension ref="A1:J29"/>
  <sheetViews>
    <sheetView showGridLines="0" zoomScale="100"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30" customWidth="1" min="3" max="3"/>
    <col width="3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 ht="40" customHeight="1">
      <c r="A1" s="1" t="inlineStr">
        <is>
          <t>VIRORAH PMS — Performance Management Toolkit</t>
        </is>
      </c>
    </row>
    <row r="2" ht="20" customHeight="1">
      <c r="A2" s="2" t="inlineStr">
        <is>
          <t>virorah.com  ·  For HR Professionals, HRBPs and People Managers  ·  © 2026 Virorah Private Limited</t>
        </is>
      </c>
    </row>
    <row r="3" ht="16" customHeight="1">
      <c r="A3" s="3" t="inlineStr"/>
    </row>
    <row r="4"/>
    <row r="5" ht="22" customHeight="1"/>
    <row r="6" ht="20" customHeight="1">
      <c r="A6" s="4" t="inlineStr">
        <is>
          <t>Sheet</t>
        </is>
      </c>
      <c r="B6" s="4" t="inlineStr">
        <is>
          <t>Purpose</t>
        </is>
      </c>
      <c r="C6" s="4" t="inlineStr">
        <is>
          <t>Input Required</t>
        </is>
      </c>
      <c r="D6" s="4" t="inlineStr">
        <is>
          <t>Key Output</t>
        </is>
      </c>
    </row>
    <row r="7" ht="20" customHeight="1">
      <c r="A7" s="5" t="inlineStr">
        <is>
          <t>Employee Data</t>
        </is>
      </c>
      <c r="B7" s="6" t="inlineStr">
        <is>
          <t>Master data for all calculators</t>
        </is>
      </c>
      <c r="C7" s="6" t="inlineStr">
        <is>
          <t>Your employee CSV data</t>
        </is>
      </c>
      <c r="D7" s="6" t="inlineStr">
        <is>
          <t>Single source of truth</t>
        </is>
      </c>
    </row>
    <row r="8" ht="20" customHeight="1">
      <c r="A8" s="7" t="inlineStr">
        <is>
          <t>Bell Curve</t>
        </is>
      </c>
      <c r="B8" s="8" t="inlineStr">
        <is>
          <t>Performance distribution analysis</t>
        </is>
      </c>
      <c r="C8" s="8" t="inlineStr">
        <is>
          <t>Auto from Employee Data</t>
        </is>
      </c>
      <c r="D8" s="8" t="inlineStr">
        <is>
          <t>Distribution chart + insights</t>
        </is>
      </c>
    </row>
    <row r="9" ht="20" customHeight="1">
      <c r="A9" s="5" t="inlineStr">
        <is>
          <t>9-Box Grid</t>
        </is>
      </c>
      <c r="B9" s="6" t="inlineStr">
        <is>
          <t>Performance vs Potential matrix</t>
        </is>
      </c>
      <c r="C9" s="6" t="inlineStr">
        <is>
          <t>Auto from Employee Data</t>
        </is>
      </c>
      <c r="D9" s="6" t="inlineStr">
        <is>
          <t>9-Box placement counts</t>
        </is>
      </c>
    </row>
    <row r="10" ht="20" customHeight="1">
      <c r="A10" s="7" t="inlineStr">
        <is>
          <t>Increment Calculator</t>
        </is>
      </c>
      <c r="B10" s="8" t="inlineStr">
        <is>
          <t>Salary increment allocation</t>
        </is>
      </c>
      <c r="C10" s="8" t="inlineStr">
        <is>
          <t>Budget % assumption</t>
        </is>
      </c>
      <c r="D10" s="8" t="inlineStr">
        <is>
          <t>Per-employee increments</t>
        </is>
      </c>
    </row>
    <row r="11" ht="20" customHeight="1">
      <c r="A11" s="5" t="inlineStr">
        <is>
          <t>Compa-Ratio</t>
        </is>
      </c>
      <c r="B11" s="6" t="inlineStr">
        <is>
          <t>Pay equity and market alignment</t>
        </is>
      </c>
      <c r="C11" s="6" t="inlineStr">
        <is>
          <t>Market salary data</t>
        </is>
      </c>
      <c r="D11" s="6" t="inlineStr">
        <is>
          <t>Compa-ratio per employee</t>
        </is>
      </c>
    </row>
    <row r="12" ht="20" customHeight="1">
      <c r="A12" s="7" t="inlineStr">
        <is>
          <t>Flight Risk</t>
        </is>
      </c>
      <c r="B12" s="8" t="inlineStr">
        <is>
          <t>Attrition risk identification</t>
        </is>
      </c>
      <c r="C12" s="8" t="inlineStr">
        <is>
          <t>Auto from Employee Data</t>
        </is>
      </c>
      <c r="D12" s="8" t="inlineStr">
        <is>
          <t>High/Medium/Low risk list</t>
        </is>
      </c>
    </row>
    <row r="13" ht="20" customHeight="1">
      <c r="A13" s="5" t="inlineStr">
        <is>
          <t>Succession Planning</t>
        </is>
      </c>
      <c r="B13" s="6" t="inlineStr">
        <is>
          <t>Bench strength and pipeline</t>
        </is>
      </c>
      <c r="C13" s="6" t="inlineStr">
        <is>
          <t>Auto from Employee Data</t>
        </is>
      </c>
      <c r="D13" s="6" t="inlineStr">
        <is>
          <t>Readiness summary</t>
        </is>
      </c>
    </row>
    <row r="14" ht="20" customHeight="1">
      <c r="A14" s="7" t="inlineStr">
        <is>
          <t>DEI Analytics</t>
        </is>
      </c>
      <c r="B14" s="8" t="inlineStr">
        <is>
          <t>Diversity and inclusion metrics</t>
        </is>
      </c>
      <c r="C14" s="8" t="inlineStr">
        <is>
          <t>Auto from Employee Data</t>
        </is>
      </c>
      <c r="D14" s="8" t="inlineStr">
        <is>
          <t>Gender/ethnicity breakdowns</t>
        </is>
      </c>
    </row>
    <row r="15" ht="20" customHeight="1">
      <c r="A15" s="5" t="inlineStr">
        <is>
          <t>Manager Dashboard</t>
        </is>
      </c>
      <c r="B15" s="6" t="inlineStr">
        <is>
          <t>Team-level performance rollup</t>
        </is>
      </c>
      <c r="C15" s="6" t="inlineStr">
        <is>
          <t>Auto from Employee Data</t>
        </is>
      </c>
      <c r="D15" s="6" t="inlineStr">
        <is>
          <t>Per-manager summary</t>
        </is>
      </c>
    </row>
    <row r="16" ht="20" customHeight="1">
      <c r="A16" s="7" t="inlineStr">
        <is>
          <t>Calibration Engine</t>
        </is>
      </c>
      <c r="B16" s="8" t="inlineStr">
        <is>
          <t>Forced distribution calibration</t>
        </is>
      </c>
      <c r="C16" s="8" t="inlineStr">
        <is>
          <t>Target distribution %</t>
        </is>
      </c>
      <c r="D16" s="8" t="inlineStr">
        <is>
          <t>Calibration adjustments</t>
        </is>
      </c>
    </row>
    <row r="17" ht="20" customHeight="1">
      <c r="A17" s="5" t="inlineStr">
        <is>
          <t>OKR Tracker</t>
        </is>
      </c>
      <c r="B17" s="6" t="inlineStr">
        <is>
          <t>Goal progress and scoring</t>
        </is>
      </c>
      <c r="C17" s="6" t="inlineStr">
        <is>
          <t>OKR data input</t>
        </is>
      </c>
      <c r="D17" s="6" t="inlineStr">
        <is>
          <t>Progress dashboard</t>
        </is>
      </c>
    </row>
    <row r="18" ht="20" customHeight="1">
      <c r="A18" s="7" t="inlineStr">
        <is>
          <t>PIP Tracker</t>
        </is>
      </c>
      <c r="B18" s="8" t="inlineStr">
        <is>
          <t>Performance improvement plans</t>
        </is>
      </c>
      <c r="C18" s="8" t="inlineStr">
        <is>
          <t>PIP details input</t>
        </is>
      </c>
      <c r="D18" s="8" t="inlineStr">
        <is>
          <t>Status tracker</t>
        </is>
      </c>
    </row>
    <row r="19" ht="20" customHeight="1">
      <c r="A19" s="5" t="inlineStr">
        <is>
          <t>Balanced Scorecard</t>
        </is>
      </c>
      <c r="B19" s="6" t="inlineStr">
        <is>
          <t>4-perspective strategy scoring</t>
        </is>
      </c>
      <c r="C19" s="6" t="inlineStr">
        <is>
          <t>Weights + scores</t>
        </is>
      </c>
      <c r="D19" s="6" t="inlineStr">
        <is>
          <t>Overall BSC score</t>
        </is>
      </c>
    </row>
    <row r="20" ht="20" customHeight="1">
      <c r="A20" s="7" t="inlineStr">
        <is>
          <t>Org Planner</t>
        </is>
      </c>
      <c r="B20" s="8" t="inlineStr">
        <is>
          <t>Headcount and cost planning</t>
        </is>
      </c>
      <c r="C20" s="8" t="inlineStr">
        <is>
          <t>Headcount + salary inputs</t>
        </is>
      </c>
      <c r="D20" s="8" t="inlineStr">
        <is>
          <t>Cost model by department</t>
        </is>
      </c>
    </row>
    <row r="23" ht="24" customHeight="1">
      <c r="A23" s="9" t="inlineStr">
        <is>
          <t>HOW TO USE THIS TOOLKIT</t>
        </is>
      </c>
    </row>
    <row r="24" ht="18" customHeight="1">
      <c r="A24" s="10" t="inlineStr">
        <is>
          <t>1. Go to the Employee Data sheet and paste your employee data starting from row 6.</t>
        </is>
      </c>
    </row>
    <row r="25" ht="18" customHeight="1">
      <c r="A25" s="11" t="inlineStr">
        <is>
          <t>2. All other sheets pull from Employee Data automatically via formulas.</t>
        </is>
      </c>
    </row>
    <row r="26" ht="18" customHeight="1">
      <c r="A26" s="10" t="inlineStr">
        <is>
          <t>3. The more columns you fill in Employee Data, the richer each calculator becomes.</t>
        </is>
      </c>
    </row>
    <row r="27" ht="18" customHeight="1">
      <c r="A27" s="11" t="inlineStr">
        <is>
          <t>4. Sheets with a yellow INPUT marker require additional data beyond Employee Data.</t>
        </is>
      </c>
    </row>
    <row r="28" ht="18" customHeight="1">
      <c r="A28" s="10" t="inlineStr">
        <is>
          <t>5. Data never leaves this file — no cloud sync, no external connections.</t>
        </is>
      </c>
    </row>
    <row r="29" ht="18" customHeight="1">
      <c r="A29" s="11" t="inlineStr">
        <is>
          <t>6. This toolkit is for learning and professional development. Not for regulatory use.</t>
        </is>
      </c>
    </row>
  </sheetData>
  <mergeCells count="10">
    <mergeCell ref="A1:J1"/>
    <mergeCell ref="A23:D23"/>
    <mergeCell ref="A27:D27"/>
    <mergeCell ref="A26:D26"/>
    <mergeCell ref="A3:J3"/>
    <mergeCell ref="A29:D29"/>
    <mergeCell ref="A25:D25"/>
    <mergeCell ref="A24:D24"/>
    <mergeCell ref="A2:J2"/>
    <mergeCell ref="A28:D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67EEA"/>
    <outlinePr summaryBelow="1" summaryRight="1"/>
    <pageSetUpPr/>
  </sheetPr>
  <dimension ref="A1:N1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8" customWidth="1" min="3" max="3"/>
    <col width="18" customWidth="1" min="4" max="4"/>
    <col width="14" customWidth="1" min="5" max="5"/>
    <col width="18" customWidth="1" min="6" max="6"/>
    <col width="20" customWidth="1" min="7" max="7"/>
    <col width="14" customWidth="1" min="8" max="8"/>
    <col width="14" customWidth="1" min="9" max="9"/>
    <col width="20" customWidth="1" min="10" max="10"/>
    <col width="12" customWidth="1" min="11" max="11"/>
    <col width="18" customWidth="1" min="12" max="12"/>
    <col width="14" customWidth="1" min="13" max="13"/>
    <col width="18" customWidth="1" min="14" max="14"/>
  </cols>
  <sheetData>
    <row r="1">
      <c r="A1" s="12" t="inlineStr">
        <is>
          <t>VIRORAH PMS — Employee Data</t>
        </is>
      </c>
    </row>
    <row r="2">
      <c r="A2" s="13" t="inlineStr">
        <is>
          <t>Paste your employee data below from row 6. All other sheets reference this table automatically.</t>
        </is>
      </c>
    </row>
    <row r="3">
      <c r="A3" s="3" t="n"/>
    </row>
    <row r="4" ht="18" customHeight="1">
      <c r="A4" s="14" t="inlineStr">
        <is>
          <t>🔒  PRIVACY: This data stays in your browser / this file only. Anonymise names before sharing this file with others.</t>
        </is>
      </c>
    </row>
    <row r="5">
      <c r="A5" s="3" t="n"/>
    </row>
    <row r="6" ht="40" customHeight="1">
      <c r="A6" s="15" t="inlineStr">
        <is>
          <t>Employee Name</t>
        </is>
      </c>
      <c r="B6" s="15" t="inlineStr">
        <is>
          <t>Performance Rating</t>
        </is>
      </c>
      <c r="C6" s="15" t="inlineStr">
        <is>
          <t>Potential Rating</t>
        </is>
      </c>
      <c r="D6" s="15" t="inlineStr">
        <is>
          <t>Annual Salary</t>
        </is>
      </c>
      <c r="E6" s="15" t="inlineStr">
        <is>
          <t>Gender</t>
        </is>
      </c>
      <c r="F6" s="15" t="inlineStr">
        <is>
          <t>Job Level</t>
        </is>
      </c>
      <c r="G6" s="15" t="inlineStr">
        <is>
          <t>Department</t>
        </is>
      </c>
      <c r="H6" s="15" t="inlineStr">
        <is>
          <t>Tenure Years</t>
        </is>
      </c>
      <c r="I6" s="15" t="inlineStr">
        <is>
          <t>Flight Risk</t>
        </is>
      </c>
      <c r="J6" s="15" t="inlineStr">
        <is>
          <t>Succession Readiness</t>
        </is>
      </c>
      <c r="K6" s="15" t="inlineStr">
        <is>
          <t>Is Manager</t>
        </is>
      </c>
      <c r="L6" s="15" t="inlineStr">
        <is>
          <t>Market Salary</t>
        </is>
      </c>
      <c r="M6" s="15" t="inlineStr">
        <is>
          <t>Ethnicity</t>
        </is>
      </c>
      <c r="N6" s="15" t="inlineStr">
        <is>
          <t>9-Box Placement</t>
        </is>
      </c>
    </row>
    <row r="7" ht="18" customHeight="1">
      <c r="A7" s="8" t="inlineStr">
        <is>
          <t>Sarah Chen</t>
        </is>
      </c>
      <c r="B7" s="8" t="inlineStr">
        <is>
          <t>5</t>
        </is>
      </c>
      <c r="C7" s="8" t="inlineStr">
        <is>
          <t>3</t>
        </is>
      </c>
      <c r="D7" s="8" t="inlineStr">
        <is>
          <t>220000</t>
        </is>
      </c>
      <c r="E7" s="8" t="inlineStr">
        <is>
          <t>Female</t>
        </is>
      </c>
      <c r="F7" s="8" t="inlineStr">
        <is>
          <t>C-Suite</t>
        </is>
      </c>
      <c r="G7" s="8" t="inlineStr">
        <is>
          <t>Executive</t>
        </is>
      </c>
      <c r="H7" s="8" t="inlineStr">
        <is>
          <t>4</t>
        </is>
      </c>
      <c r="I7" s="8" t="inlineStr">
        <is>
          <t>Low</t>
        </is>
      </c>
      <c r="J7" s="8" t="inlineStr">
        <is>
          <t>Ready Now</t>
        </is>
      </c>
      <c r="K7" s="8" t="inlineStr">
        <is>
          <t>Yes</t>
        </is>
      </c>
      <c r="L7" s="8" t="inlineStr">
        <is>
          <t>240000</t>
        </is>
      </c>
      <c r="M7" s="8" t="inlineStr">
        <is>
          <t>Asian</t>
        </is>
      </c>
      <c r="N7" s="8" t="inlineStr">
        <is>
          <t>Star</t>
        </is>
      </c>
    </row>
    <row r="8" ht="18" customHeight="1">
      <c r="A8" s="6" t="inlineStr">
        <is>
          <t>Marcus Johnson</t>
        </is>
      </c>
      <c r="B8" s="6" t="inlineStr">
        <is>
          <t>5</t>
        </is>
      </c>
      <c r="C8" s="6" t="inlineStr">
        <is>
          <t>3</t>
        </is>
      </c>
      <c r="D8" s="6" t="inlineStr">
        <is>
          <t>200000</t>
        </is>
      </c>
      <c r="E8" s="6" t="inlineStr">
        <is>
          <t>Male</t>
        </is>
      </c>
      <c r="F8" s="6" t="inlineStr">
        <is>
          <t>C-Suite</t>
        </is>
      </c>
      <c r="G8" s="6" t="inlineStr">
        <is>
          <t>Engineering</t>
        </is>
      </c>
      <c r="H8" s="6" t="inlineStr">
        <is>
          <t>6</t>
        </is>
      </c>
      <c r="I8" s="6" t="inlineStr">
        <is>
          <t>Low</t>
        </is>
      </c>
      <c r="J8" s="6" t="inlineStr">
        <is>
          <t>Ready Now</t>
        </is>
      </c>
      <c r="K8" s="6" t="inlineStr">
        <is>
          <t>Yes</t>
        </is>
      </c>
      <c r="L8" s="6" t="inlineStr">
        <is>
          <t>220000</t>
        </is>
      </c>
      <c r="M8" s="6" t="inlineStr">
        <is>
          <t>Black</t>
        </is>
      </c>
      <c r="N8" s="6" t="inlineStr">
        <is>
          <t>Star</t>
        </is>
      </c>
    </row>
    <row r="9" ht="18" customHeight="1">
      <c r="A9" s="8" t="inlineStr">
        <is>
          <t>Priya Sharma</t>
        </is>
      </c>
      <c r="B9" s="8" t="inlineStr">
        <is>
          <t>4</t>
        </is>
      </c>
      <c r="C9" s="8" t="inlineStr">
        <is>
          <t>3</t>
        </is>
      </c>
      <c r="D9" s="8" t="inlineStr">
        <is>
          <t>185000</t>
        </is>
      </c>
      <c r="E9" s="8" t="inlineStr">
        <is>
          <t>Female</t>
        </is>
      </c>
      <c r="F9" s="8" t="inlineStr">
        <is>
          <t>C-Suite</t>
        </is>
      </c>
      <c r="G9" s="8" t="inlineStr">
        <is>
          <t>Product</t>
        </is>
      </c>
      <c r="H9" s="8" t="inlineStr">
        <is>
          <t>3</t>
        </is>
      </c>
      <c r="I9" s="8" t="inlineStr">
        <is>
          <t>Low</t>
        </is>
      </c>
      <c r="J9" s="8" t="inlineStr">
        <is>
          <t>1 Year</t>
        </is>
      </c>
      <c r="K9" s="8" t="inlineStr">
        <is>
          <t>Yes</t>
        </is>
      </c>
      <c r="L9" s="8" t="inlineStr">
        <is>
          <t>200000</t>
        </is>
      </c>
      <c r="M9" s="8" t="inlineStr">
        <is>
          <t>Asian</t>
        </is>
      </c>
      <c r="N9" s="8" t="inlineStr">
        <is>
          <t>High Performer</t>
        </is>
      </c>
    </row>
    <row r="10" ht="18" customHeight="1">
      <c r="A10" s="6" t="inlineStr">
        <is>
          <t>David Kim</t>
        </is>
      </c>
      <c r="B10" s="6" t="inlineStr">
        <is>
          <t>4</t>
        </is>
      </c>
      <c r="C10" s="6" t="inlineStr">
        <is>
          <t>2</t>
        </is>
      </c>
      <c r="D10" s="6" t="inlineStr">
        <is>
          <t>160000</t>
        </is>
      </c>
      <c r="E10" s="6" t="inlineStr">
        <is>
          <t>Male</t>
        </is>
      </c>
      <c r="F10" s="6" t="inlineStr">
        <is>
          <t>VP</t>
        </is>
      </c>
      <c r="G10" s="6" t="inlineStr">
        <is>
          <t>Engineering</t>
        </is>
      </c>
      <c r="H10" s="6" t="inlineStr">
        <is>
          <t>5</t>
        </is>
      </c>
      <c r="I10" s="6" t="inlineStr">
        <is>
          <t>Medium</t>
        </is>
      </c>
      <c r="J10" s="6" t="inlineStr">
        <is>
          <t>1 Year</t>
        </is>
      </c>
      <c r="K10" s="6" t="inlineStr">
        <is>
          <t>Yes</t>
        </is>
      </c>
      <c r="L10" s="6" t="inlineStr">
        <is>
          <t>175000</t>
        </is>
      </c>
      <c r="M10" s="6" t="inlineStr">
        <is>
          <t>Asian</t>
        </is>
      </c>
      <c r="N10" s="6" t="inlineStr">
        <is>
          <t>Core Performer</t>
        </is>
      </c>
    </row>
    <row r="11" ht="18" customHeight="1">
      <c r="A11" s="8" t="inlineStr">
        <is>
          <t>Emma Wilson</t>
        </is>
      </c>
      <c r="B11" s="8" t="inlineStr">
        <is>
          <t>3</t>
        </is>
      </c>
      <c r="C11" s="8" t="inlineStr">
        <is>
          <t>3</t>
        </is>
      </c>
      <c r="D11" s="8" t="inlineStr">
        <is>
          <t>120000</t>
        </is>
      </c>
      <c r="E11" s="8" t="inlineStr">
        <is>
          <t>Female</t>
        </is>
      </c>
      <c r="F11" s="8" t="inlineStr">
        <is>
          <t>Senior</t>
        </is>
      </c>
      <c r="G11" s="8" t="inlineStr">
        <is>
          <t>Sales</t>
        </is>
      </c>
      <c r="H11" s="8" t="inlineStr">
        <is>
          <t>3</t>
        </is>
      </c>
      <c r="I11" s="8" t="inlineStr">
        <is>
          <t>Medium</t>
        </is>
      </c>
      <c r="J11" s="8" t="inlineStr">
        <is>
          <t>2 Years</t>
        </is>
      </c>
      <c r="K11" s="8" t="inlineStr">
        <is>
          <t>No</t>
        </is>
      </c>
      <c r="L11" s="8" t="inlineStr">
        <is>
          <t>130000</t>
        </is>
      </c>
      <c r="M11" s="8" t="inlineStr">
        <is>
          <t>White</t>
        </is>
      </c>
      <c r="N11" s="8" t="inlineStr">
        <is>
          <t>Solid Performer</t>
        </is>
      </c>
    </row>
    <row r="12" ht="18" customHeight="1">
      <c r="A12" s="6" t="inlineStr">
        <is>
          <t>Raj Patel</t>
        </is>
      </c>
      <c r="B12" s="6" t="inlineStr">
        <is>
          <t>3</t>
        </is>
      </c>
      <c r="C12" s="6" t="inlineStr">
        <is>
          <t>2</t>
        </is>
      </c>
      <c r="D12" s="6" t="inlineStr">
        <is>
          <t>95000</t>
        </is>
      </c>
      <c r="E12" s="6" t="inlineStr">
        <is>
          <t>Male</t>
        </is>
      </c>
      <c r="F12" s="6" t="inlineStr">
        <is>
          <t>Mid</t>
        </is>
      </c>
      <c r="G12" s="6" t="inlineStr">
        <is>
          <t>Operations</t>
        </is>
      </c>
      <c r="H12" s="6" t="inlineStr">
        <is>
          <t>2</t>
        </is>
      </c>
      <c r="I12" s="6" t="inlineStr">
        <is>
          <t>High</t>
        </is>
      </c>
      <c r="J12" s="6" t="inlineStr">
        <is>
          <t>Not Ready</t>
        </is>
      </c>
      <c r="K12" s="6" t="inlineStr">
        <is>
          <t>No</t>
        </is>
      </c>
      <c r="L12" s="6" t="inlineStr">
        <is>
          <t>100000</t>
        </is>
      </c>
      <c r="M12" s="6" t="inlineStr">
        <is>
          <t>Asian</t>
        </is>
      </c>
      <c r="N12" s="6" t="inlineStr">
        <is>
          <t>Inconsistent Performer</t>
        </is>
      </c>
    </row>
    <row r="13" ht="18" customHeight="1">
      <c r="A13" s="8" t="inlineStr">
        <is>
          <t>Lisa Rodriguez</t>
        </is>
      </c>
      <c r="B13" s="8" t="inlineStr">
        <is>
          <t>4</t>
        </is>
      </c>
      <c r="C13" s="8" t="inlineStr">
        <is>
          <t>3</t>
        </is>
      </c>
      <c r="D13" s="8" t="inlineStr">
        <is>
          <t>140000</t>
        </is>
      </c>
      <c r="E13" s="8" t="inlineStr">
        <is>
          <t>Female</t>
        </is>
      </c>
      <c r="F13" s="8" t="inlineStr">
        <is>
          <t>Lead</t>
        </is>
      </c>
      <c r="G13" s="8" t="inlineStr">
        <is>
          <t>Marketing</t>
        </is>
      </c>
      <c r="H13" s="8" t="inlineStr">
        <is>
          <t>4</t>
        </is>
      </c>
      <c r="I13" s="8" t="inlineStr">
        <is>
          <t>Low</t>
        </is>
      </c>
      <c r="J13" s="8" t="inlineStr">
        <is>
          <t>1 Year</t>
        </is>
      </c>
      <c r="K13" s="8" t="inlineStr">
        <is>
          <t>No</t>
        </is>
      </c>
      <c r="L13" s="8" t="inlineStr">
        <is>
          <t>155000</t>
        </is>
      </c>
      <c r="M13" s="8" t="inlineStr">
        <is>
          <t>Hispanic</t>
        </is>
      </c>
      <c r="N13" s="8" t="inlineStr">
        <is>
          <t>High Performer</t>
        </is>
      </c>
    </row>
    <row r="14" ht="18" customHeight="1">
      <c r="A14" s="6" t="inlineStr">
        <is>
          <t>James O'Brien</t>
        </is>
      </c>
      <c r="B14" s="6" t="inlineStr">
        <is>
          <t>2</t>
        </is>
      </c>
      <c r="C14" s="6" t="inlineStr">
        <is>
          <t>2</t>
        </is>
      </c>
      <c r="D14" s="6" t="inlineStr">
        <is>
          <t>85000</t>
        </is>
      </c>
      <c r="E14" s="6" t="inlineStr">
        <is>
          <t>Male</t>
        </is>
      </c>
      <c r="F14" s="6" t="inlineStr">
        <is>
          <t>Junior</t>
        </is>
      </c>
      <c r="G14" s="6" t="inlineStr">
        <is>
          <t>Sales</t>
        </is>
      </c>
      <c r="H14" s="6" t="inlineStr">
        <is>
          <t>1</t>
        </is>
      </c>
      <c r="I14" s="6" t="inlineStr">
        <is>
          <t>High</t>
        </is>
      </c>
      <c r="J14" s="6" t="inlineStr">
        <is>
          <t>Not Ready</t>
        </is>
      </c>
      <c r="K14" s="6" t="inlineStr">
        <is>
          <t>No</t>
        </is>
      </c>
      <c r="L14" s="6" t="inlineStr">
        <is>
          <t>90000</t>
        </is>
      </c>
      <c r="M14" s="6" t="inlineStr">
        <is>
          <t>White</t>
        </is>
      </c>
      <c r="N14" s="6" t="inlineStr">
        <is>
          <t>Low Performer</t>
        </is>
      </c>
    </row>
    <row r="15" ht="18" customHeight="1">
      <c r="A15" s="8" t="inlineStr">
        <is>
          <t>Aisha Okonkwo</t>
        </is>
      </c>
      <c r="B15" s="8" t="inlineStr">
        <is>
          <t>5</t>
        </is>
      </c>
      <c r="C15" s="8" t="inlineStr">
        <is>
          <t>3</t>
        </is>
      </c>
      <c r="D15" s="8" t="inlineStr">
        <is>
          <t>175000</t>
        </is>
      </c>
      <c r="E15" s="8" t="inlineStr">
        <is>
          <t>Female</t>
        </is>
      </c>
      <c r="F15" s="8" t="inlineStr">
        <is>
          <t>Senior</t>
        </is>
      </c>
      <c r="G15" s="8" t="inlineStr">
        <is>
          <t>Engineering</t>
        </is>
      </c>
      <c r="H15" s="8" t="inlineStr">
        <is>
          <t>5</t>
        </is>
      </c>
      <c r="I15" s="8" t="inlineStr">
        <is>
          <t>Low</t>
        </is>
      </c>
      <c r="J15" s="8" t="inlineStr">
        <is>
          <t>Ready Now</t>
        </is>
      </c>
      <c r="K15" s="8" t="inlineStr">
        <is>
          <t>No</t>
        </is>
      </c>
      <c r="L15" s="8" t="inlineStr">
        <is>
          <t>190000</t>
        </is>
      </c>
      <c r="M15" s="8" t="inlineStr">
        <is>
          <t>Black</t>
        </is>
      </c>
      <c r="N15" s="8" t="inlineStr">
        <is>
          <t>High Performer</t>
        </is>
      </c>
    </row>
    <row r="16" ht="18" customHeight="1">
      <c r="A16" s="6" t="inlineStr">
        <is>
          <t>Chen Wei</t>
        </is>
      </c>
      <c r="B16" s="6" t="inlineStr">
        <is>
          <t>3</t>
        </is>
      </c>
      <c r="C16" s="6" t="inlineStr">
        <is>
          <t>3</t>
        </is>
      </c>
      <c r="D16" s="6" t="inlineStr">
        <is>
          <t>110000</t>
        </is>
      </c>
      <c r="E16" s="6" t="inlineStr">
        <is>
          <t>Male</t>
        </is>
      </c>
      <c r="F16" s="6" t="inlineStr">
        <is>
          <t>Mid</t>
        </is>
      </c>
      <c r="G16" s="6" t="inlineStr">
        <is>
          <t>Finance</t>
        </is>
      </c>
      <c r="H16" s="6" t="inlineStr">
        <is>
          <t>3</t>
        </is>
      </c>
      <c r="I16" s="6" t="inlineStr">
        <is>
          <t>Medium</t>
        </is>
      </c>
      <c r="J16" s="6" t="inlineStr">
        <is>
          <t>2 Years</t>
        </is>
      </c>
      <c r="K16" s="6" t="inlineStr">
        <is>
          <t>No</t>
        </is>
      </c>
      <c r="L16" s="6" t="inlineStr">
        <is>
          <t>120000</t>
        </is>
      </c>
      <c r="M16" s="6" t="inlineStr">
        <is>
          <t>Asian</t>
        </is>
      </c>
      <c r="N16" s="6" t="inlineStr">
        <is>
          <t>Core Performer</t>
        </is>
      </c>
    </row>
    <row r="17" ht="16" customHeight="1">
      <c r="A17" s="16" t="inlineStr">
        <is>
          <t>← Add your employees below this line (replace or extend the sample rows above)</t>
        </is>
      </c>
    </row>
  </sheetData>
  <mergeCells count="6">
    <mergeCell ref="A17:N17"/>
    <mergeCell ref="A3:N3"/>
    <mergeCell ref="A4:N4"/>
    <mergeCell ref="A2:N2"/>
    <mergeCell ref="A5:N5"/>
    <mergeCell ref="A1:N1"/>
  </mergeCells>
  <dataValidations count="4">
    <dataValidation sqref="B7:B2000" showDropDown="0" showInputMessage="0" showErrorMessage="1" allowBlank="0" errorTitle="Invalid Rating" error="Enter 1-5" type="whole" operator="between">
      <formula1>1</formula1>
      <formula2>5</formula2>
    </dataValidation>
    <dataValidation sqref="E7:E2000" showDropDown="0" showInputMessage="0" showErrorMessage="0" allowBlank="0" type="list">
      <formula1>"Male,Female,Non-Binary,Unknown"</formula1>
    </dataValidation>
    <dataValidation sqref="I7:I2000" showDropDown="0" showInputMessage="0" showErrorMessage="0" allowBlank="0" type="list">
      <formula1>"High,Medium,Low"</formula1>
    </dataValidation>
    <dataValidation sqref="J7:J2000" showDropDown="0" showInputMessage="0" showErrorMessage="0" allowBlank="0" type="list">
      <formula1>"Ready Now,1 Year,2 Years,Not Ready"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0B981"/>
    <outlinePr summaryBelow="1" summaryRight="1"/>
    <pageSetUpPr/>
  </sheetPr>
  <dimension ref="A1:I2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  <col width="22" customWidth="1" min="7" max="7"/>
    <col width="30" customWidth="1" min="8" max="8"/>
    <col width="10" customWidth="1" min="9" max="9"/>
  </cols>
  <sheetData>
    <row r="1">
      <c r="A1" s="17" t="inlineStr">
        <is>
          <t>VIRORAH PMS — Bell Curve / Performance Distribution</t>
        </is>
      </c>
    </row>
    <row r="2">
      <c r="A2" s="13" t="inlineStr">
        <is>
          <t>Auto-calculated from Employee Data sheet. Distribution analysis with calibration insights.</t>
        </is>
      </c>
    </row>
    <row r="3">
      <c r="A3" s="3" t="n"/>
    </row>
    <row r="5" ht="24" customHeight="1">
      <c r="A5" s="18" t="inlineStr">
        <is>
          <t>Rating</t>
        </is>
      </c>
      <c r="B5" s="18" t="inlineStr">
        <is>
          <t>Label</t>
        </is>
      </c>
      <c r="C5" s="18" t="inlineStr">
        <is>
          <t>Count</t>
        </is>
      </c>
      <c r="D5" s="18" t="inlineStr">
        <is>
          <t>% of Total</t>
        </is>
      </c>
      <c r="E5" s="18" t="inlineStr">
        <is>
          <t>Target %</t>
        </is>
      </c>
      <c r="F5" s="18" t="inlineStr">
        <is>
          <t>Variance</t>
        </is>
      </c>
      <c r="G5" s="18" t="inlineStr">
        <is>
          <t>Status</t>
        </is>
      </c>
      <c r="H5" s="18" t="inlineStr">
        <is>
          <t>Bar</t>
        </is>
      </c>
    </row>
    <row r="6" ht="22" customHeight="1">
      <c r="A6" s="19" t="n">
        <v>1</v>
      </c>
      <c r="B6" s="20" t="inlineStr">
        <is>
          <t>Needs Improvement</t>
        </is>
      </c>
      <c r="C6" s="20">
        <f>COUNTIF('Employee Data'!B$7:B$2000,1)</f>
        <v/>
      </c>
      <c r="D6" s="21">
        <f>IF(C6=0,0,C6/SUM(C6:C10))</f>
        <v/>
      </c>
      <c r="E6" s="21" t="n">
        <v>0.05</v>
      </c>
      <c r="F6" s="22">
        <f>D6-E6</f>
        <v/>
      </c>
      <c r="G6" s="20">
        <f>IF(ABS(F6)&lt;0.05,"Within Target",IF(F6&gt;0,"Above Target","Below Target"))</f>
        <v/>
      </c>
      <c r="H6" s="20">
        <f>REPT("|",ROUND(D6*50,0))</f>
        <v/>
      </c>
    </row>
    <row r="7" ht="22" customHeight="1">
      <c r="A7" s="23" t="n">
        <v>2</v>
      </c>
      <c r="B7" s="24" t="inlineStr">
        <is>
          <t>Below Expectations</t>
        </is>
      </c>
      <c r="C7" s="24">
        <f>COUNTIF('Employee Data'!B$7:B$2000,2)</f>
        <v/>
      </c>
      <c r="D7" s="25">
        <f>IF(C7=0,0,C7/SUM(C6:C10))</f>
        <v/>
      </c>
      <c r="E7" s="25" t="n">
        <v>0.15</v>
      </c>
      <c r="F7" s="26">
        <f>D7-E7</f>
        <v/>
      </c>
      <c r="G7" s="24">
        <f>IF(ABS(F7)&lt;0.05,"Within Target",IF(F7&gt;0,"Above Target","Below Target"))</f>
        <v/>
      </c>
      <c r="H7" s="24">
        <f>REPT("|",ROUND(D7*50,0))</f>
        <v/>
      </c>
    </row>
    <row r="8" ht="22" customHeight="1">
      <c r="A8" s="27" t="n">
        <v>3</v>
      </c>
      <c r="B8" s="28" t="inlineStr">
        <is>
          <t>Meets Expectations</t>
        </is>
      </c>
      <c r="C8" s="28">
        <f>COUNTIF('Employee Data'!B$7:B$2000,3)</f>
        <v/>
      </c>
      <c r="D8" s="29">
        <f>IF(C8=0,0,C8/SUM(C6:C10))</f>
        <v/>
      </c>
      <c r="E8" s="29" t="n">
        <v>0.45</v>
      </c>
      <c r="F8" s="30">
        <f>D8-E8</f>
        <v/>
      </c>
      <c r="G8" s="28">
        <f>IF(ABS(F8)&lt;0.05,"Within Target",IF(F8&gt;0,"Above Target","Below Target"))</f>
        <v/>
      </c>
      <c r="H8" s="28">
        <f>REPT("|",ROUND(D8*50,0))</f>
        <v/>
      </c>
    </row>
    <row r="9" ht="22" customHeight="1">
      <c r="A9" s="31" t="n">
        <v>4</v>
      </c>
      <c r="B9" s="32" t="inlineStr">
        <is>
          <t>Exceeds Expectations</t>
        </is>
      </c>
      <c r="C9" s="32">
        <f>COUNTIF('Employee Data'!B$7:B$2000,4)</f>
        <v/>
      </c>
      <c r="D9" s="33">
        <f>IF(C9=0,0,C9/SUM(C6:C10))</f>
        <v/>
      </c>
      <c r="E9" s="33" t="n">
        <v>0.25</v>
      </c>
      <c r="F9" s="34">
        <f>D9-E9</f>
        <v/>
      </c>
      <c r="G9" s="32">
        <f>IF(ABS(F9)&lt;0.05,"Within Target",IF(F9&gt;0,"Above Target","Below Target"))</f>
        <v/>
      </c>
      <c r="H9" s="32">
        <f>REPT("|",ROUND(D9*50,0))</f>
        <v/>
      </c>
    </row>
    <row r="10" ht="22" customHeight="1">
      <c r="A10" s="31" t="n">
        <v>5</v>
      </c>
      <c r="B10" s="32" t="inlineStr">
        <is>
          <t>Outstanding</t>
        </is>
      </c>
      <c r="C10" s="32">
        <f>COUNTIF('Employee Data'!B$7:B$2000,5)</f>
        <v/>
      </c>
      <c r="D10" s="33">
        <f>IF(C10=0,0,C10/SUM(C6:C10))</f>
        <v/>
      </c>
      <c r="E10" s="33" t="n">
        <v>0.1</v>
      </c>
      <c r="F10" s="34">
        <f>D10-E10</f>
        <v/>
      </c>
      <c r="G10" s="32">
        <f>IF(ABS(F10)&lt;0.05,"Within Target",IF(F10&gt;0,"Above Target","Below Target"))</f>
        <v/>
      </c>
      <c r="H10" s="32">
        <f>REPT("|",ROUND(D10*50,0))</f>
        <v/>
      </c>
    </row>
    <row r="11" ht="22" customHeight="1">
      <c r="A11" s="35" t="inlineStr">
        <is>
          <t>TOTAL</t>
        </is>
      </c>
      <c r="B11" s="35" t="n"/>
      <c r="C11" s="35">
        <f>SUM(C6:C10)</f>
        <v/>
      </c>
      <c r="D11" s="36">
        <f>SUM(D6:D10)</f>
        <v/>
      </c>
      <c r="E11" s="36">
        <f>SUM(E6:E10)</f>
        <v/>
      </c>
      <c r="F11" s="35" t="n"/>
      <c r="G11" s="35" t="n"/>
      <c r="H11" s="35" t="n"/>
    </row>
    <row r="13" ht="22" customHeight="1">
      <c r="A13" s="37" t="inlineStr">
        <is>
          <t>DISTRIBUTION INSIGHTS</t>
        </is>
      </c>
    </row>
    <row r="14" ht="20" customHeight="1">
      <c r="A14" s="38" t="inlineStr">
        <is>
          <t>Total Employees</t>
        </is>
      </c>
      <c r="B14" s="39">
        <f>C11</f>
        <v/>
      </c>
      <c r="C14" s="40" t="n"/>
      <c r="D14" s="40" t="n"/>
      <c r="E14" s="40" t="n"/>
      <c r="F14" s="40" t="n"/>
      <c r="G14" s="40" t="n"/>
      <c r="H14" s="41" t="n"/>
    </row>
    <row r="15" ht="20" customHeight="1">
      <c r="A15" s="42" t="inlineStr">
        <is>
          <t>Average Performance Rating</t>
        </is>
      </c>
      <c r="B15" s="43">
        <f>IFERROR(AVERAGEIF('Employee Data'!B7:B2000,"&gt;0"),0)</f>
        <v/>
      </c>
      <c r="C15" s="40" t="n"/>
      <c r="D15" s="40" t="n"/>
      <c r="E15" s="40" t="n"/>
      <c r="F15" s="40" t="n"/>
      <c r="G15" s="40" t="n"/>
      <c r="H15" s="41" t="n"/>
    </row>
    <row r="16" ht="20" customHeight="1">
      <c r="A16" s="38" t="inlineStr">
        <is>
          <t>High Performers (4-5)</t>
        </is>
      </c>
      <c r="B16" s="39">
        <f>C9+C10</f>
        <v/>
      </c>
      <c r="C16" s="40" t="n"/>
      <c r="D16" s="40" t="n"/>
      <c r="E16" s="40" t="n"/>
      <c r="F16" s="40" t="n"/>
      <c r="G16" s="40" t="n"/>
      <c r="H16" s="41" t="n"/>
    </row>
    <row r="17" ht="20" customHeight="1">
      <c r="A17" s="42" t="inlineStr">
        <is>
          <t>High Performers %</t>
        </is>
      </c>
      <c r="B17" s="44">
        <f>IFERROR((C9+C10)/C11,0)</f>
        <v/>
      </c>
      <c r="C17" s="40" t="n"/>
      <c r="D17" s="40" t="n"/>
      <c r="E17" s="40" t="n"/>
      <c r="F17" s="40" t="n"/>
      <c r="G17" s="40" t="n"/>
      <c r="H17" s="41" t="n"/>
    </row>
    <row r="18" ht="20" customHeight="1">
      <c r="A18" s="38" t="inlineStr">
        <is>
          <t>Low Performers (1-2)</t>
        </is>
      </c>
      <c r="B18" s="39">
        <f>C6+C7</f>
        <v/>
      </c>
      <c r="C18" s="40" t="n"/>
      <c r="D18" s="40" t="n"/>
      <c r="E18" s="40" t="n"/>
      <c r="F18" s="40" t="n"/>
      <c r="G18" s="40" t="n"/>
      <c r="H18" s="41" t="n"/>
    </row>
    <row r="19" ht="20" customHeight="1">
      <c r="A19" s="42" t="inlineStr">
        <is>
          <t>Low Performers %</t>
        </is>
      </c>
      <c r="B19" s="44">
        <f>IFERROR((C6+C7)/C11,0)</f>
        <v/>
      </c>
      <c r="C19" s="40" t="n"/>
      <c r="D19" s="40" t="n"/>
      <c r="E19" s="40" t="n"/>
      <c r="F19" s="40" t="n"/>
      <c r="G19" s="40" t="n"/>
      <c r="H19" s="41" t="n"/>
    </row>
    <row r="20" ht="20" customHeight="1">
      <c r="A20" s="38" t="inlineStr">
        <is>
          <t>Grade Inflation Flag</t>
        </is>
      </c>
      <c r="B20" s="39">
        <f>IF((C9+C10)/C11&gt;0.4,"WARNING: Possible grade inflation","Distribution appears normal")</f>
        <v/>
      </c>
      <c r="C20" s="40" t="n"/>
      <c r="D20" s="40" t="n"/>
      <c r="E20" s="40" t="n"/>
      <c r="F20" s="40" t="n"/>
      <c r="G20" s="40" t="n"/>
      <c r="H20" s="41" t="n"/>
    </row>
    <row r="21" ht="20" customHeight="1">
      <c r="A21" s="42" t="inlineStr">
        <is>
          <t>Bottom-Heavy Flag</t>
        </is>
      </c>
      <c r="B21" s="45">
        <f>IF((C6+C7)/C11&gt;0.3,"WARNING: High % of low performers","OK")</f>
        <v/>
      </c>
      <c r="C21" s="40" t="n"/>
      <c r="D21" s="40" t="n"/>
      <c r="E21" s="40" t="n"/>
      <c r="F21" s="40" t="n"/>
      <c r="G21" s="40" t="n"/>
      <c r="H21" s="41" t="n"/>
    </row>
  </sheetData>
  <mergeCells count="12">
    <mergeCell ref="B14:H14"/>
    <mergeCell ref="A2:I2"/>
    <mergeCell ref="B17:H17"/>
    <mergeCell ref="B18:H18"/>
    <mergeCell ref="B21:H21"/>
    <mergeCell ref="A1:I1"/>
    <mergeCell ref="A13:H13"/>
    <mergeCell ref="B16:H16"/>
    <mergeCell ref="A3:I3"/>
    <mergeCell ref="B15:H15"/>
    <mergeCell ref="B19:H19"/>
    <mergeCell ref="B20:H2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0B981"/>
    <outlinePr summaryBelow="1" summaryRight="1"/>
    <pageSetUpPr/>
  </sheetPr>
  <dimension ref="A1:L21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22" customWidth="1" min="4" max="4"/>
    <col width="12" customWidth="1" min="5" max="5"/>
    <col width="12" customWidth="1" min="6" max="6"/>
    <col width="12" customWidth="1" min="7" max="7"/>
  </cols>
  <sheetData>
    <row r="1">
      <c r="A1" s="17" t="inlineStr">
        <is>
          <t>VIRORAH PMS — 9-Box Grid (Performance vs Potential Matrix)</t>
        </is>
      </c>
    </row>
    <row r="2">
      <c r="A2" s="13" t="inlineStr">
        <is>
          <t>Auto-calculated from Employee Data. Count per box shown as number and % of workforce.</t>
        </is>
      </c>
    </row>
    <row r="3">
      <c r="A3" s="3" t="n"/>
    </row>
    <row r="5" ht="18" customHeight="1">
      <c r="A5" s="46" t="inlineStr">
        <is>
          <t>← POTENTIAL →</t>
        </is>
      </c>
    </row>
    <row r="6" ht="30" customHeight="1">
      <c r="A6" s="47" t="inlineStr">
        <is>
          <t>POTENTIAL ↕</t>
        </is>
      </c>
      <c r="B6" s="47" t="inlineStr">
        <is>
          <t>Low Perf (1-2)</t>
        </is>
      </c>
      <c r="C6" s="47" t="inlineStr">
        <is>
          <t>Mid Perf (3)</t>
        </is>
      </c>
      <c r="D6" s="47" t="inlineStr">
        <is>
          <t>High Perf (4-5)</t>
        </is>
      </c>
      <c r="E6" s="48" t="inlineStr">
        <is>
          <t>Count</t>
        </is>
      </c>
      <c r="F6" s="48" t="inlineStr">
        <is>
          <t>% Total</t>
        </is>
      </c>
    </row>
    <row r="7" ht="50" customHeight="1">
      <c r="A7" s="49" t="inlineStr">
        <is>
          <t>High Potential (3)</t>
        </is>
      </c>
      <c r="B7" s="50">
        <f>COUNTIFS('Employee Data'!B7:B2000,"&lt;=2",'Employee Data'!C7:C2000,"=3")</f>
        <v/>
      </c>
      <c r="C7" s="51">
        <f>COUNTIFS('Employee Data'!B7:B2000,"=3",'Employee Data'!C7:C2000,"=3")</f>
        <v/>
      </c>
      <c r="D7" s="51">
        <f>COUNTIFS('Employee Data'!B7:B2000,"&gt;=4",'Employee Data'!C7:C2000,"=3")</f>
        <v/>
      </c>
    </row>
    <row r="8" ht="50" customHeight="1">
      <c r="A8" s="49" t="inlineStr">
        <is>
          <t>Medium Potential (2)</t>
        </is>
      </c>
      <c r="B8" s="52">
        <f>COUNTIFS('Employee Data'!B7:B2000,"&lt;=2",'Employee Data'!C7:C2000,"=2")</f>
        <v/>
      </c>
      <c r="C8" s="53">
        <f>COUNTIFS('Employee Data'!B7:B2000,"=3",'Employee Data'!C7:C2000,"=2")</f>
        <v/>
      </c>
      <c r="D8" s="51">
        <f>COUNTIFS('Employee Data'!B7:B2000,"&gt;=4",'Employee Data'!C7:C2000,"=2")</f>
        <v/>
      </c>
    </row>
    <row r="9" ht="50" customHeight="1">
      <c r="A9" s="49" t="inlineStr">
        <is>
          <t>Low Potential (1)</t>
        </is>
      </c>
      <c r="B9" s="52">
        <f>COUNTIFS('Employee Data'!B7:B2000,"&lt;=2",'Employee Data'!C7:C2000,"=1")</f>
        <v/>
      </c>
      <c r="C9" s="52">
        <f>COUNTIFS('Employee Data'!B7:B2000,"=3",'Employee Data'!C7:C2000,"=1")</f>
        <v/>
      </c>
      <c r="D9" s="53">
        <f>COUNTIFS('Employee Data'!B7:B2000,"&gt;=4",'Employee Data'!C7:C2000,"=1")</f>
        <v/>
      </c>
    </row>
    <row r="14" ht="22" customHeight="1">
      <c r="A14" s="37" t="inlineStr">
        <is>
          <t>9-BOX SUMMARY</t>
        </is>
      </c>
    </row>
    <row r="15" ht="20" customHeight="1">
      <c r="A15" s="8" t="inlineStr">
        <is>
          <t>Stars</t>
        </is>
      </c>
      <c r="B15" s="39">
        <f>COUNTIF('Employee Data'!N7:N2000,"Star")</f>
        <v/>
      </c>
      <c r="C15" s="54">
        <f>IFERROR(B15/B21,0)</f>
        <v/>
      </c>
    </row>
    <row r="16" ht="20" customHeight="1">
      <c r="A16" s="6" t="inlineStr">
        <is>
          <t>High Performers</t>
        </is>
      </c>
      <c r="B16" s="45">
        <f>COUNTIF('Employee Data'!N7:N2000,"High Performer")</f>
        <v/>
      </c>
      <c r="C16" s="44">
        <f>IFERROR(B16/B21,0)</f>
        <v/>
      </c>
    </row>
    <row r="17" ht="20" customHeight="1">
      <c r="A17" s="8" t="inlineStr">
        <is>
          <t>Core Performers</t>
        </is>
      </c>
      <c r="B17" s="39">
        <f>COUNTIF('Employee Data'!N7:N2000,"Core Performer")</f>
        <v/>
      </c>
      <c r="C17" s="54">
        <f>IFERROR(B17/B21,0)</f>
        <v/>
      </c>
    </row>
    <row r="18" ht="20" customHeight="1">
      <c r="A18" s="6" t="inlineStr">
        <is>
          <t>High Potential</t>
        </is>
      </c>
      <c r="B18" s="45">
        <f>COUNTIF('Employee Data'!N7:N2000,"High Potential")</f>
        <v/>
      </c>
      <c r="C18" s="44">
        <f>IFERROR(B18/B21,0)</f>
        <v/>
      </c>
    </row>
    <row r="19" ht="20" customHeight="1">
      <c r="A19" s="8" t="inlineStr">
        <is>
          <t>Inconsistent Performers</t>
        </is>
      </c>
      <c r="B19" s="39">
        <f>COUNTIF('Employee Data'!N7:N2000,"Inconsistent Performer")</f>
        <v/>
      </c>
      <c r="C19" s="54">
        <f>IFERROR(B19/B21,0)</f>
        <v/>
      </c>
    </row>
    <row r="20" ht="20" customHeight="1">
      <c r="A20" s="6" t="inlineStr">
        <is>
          <t>Low Performers</t>
        </is>
      </c>
      <c r="B20" s="45">
        <f>COUNTIF('Employee Data'!N7:N2000,"Low Performer")</f>
        <v/>
      </c>
      <c r="C20" s="44">
        <f>IFERROR(B20/B21,0)</f>
        <v/>
      </c>
    </row>
    <row r="21" ht="20" customHeight="1">
      <c r="A21" s="8" t="inlineStr">
        <is>
          <t>Total Employees</t>
        </is>
      </c>
      <c r="B21" s="39">
        <f>COUNTA('Employee Data'!A7:A2000)</f>
        <v/>
      </c>
      <c r="C21" s="54">
        <f>IFERROR(B21/B21,0)</f>
        <v/>
      </c>
    </row>
  </sheetData>
  <mergeCells count="4">
    <mergeCell ref="A3:L3"/>
    <mergeCell ref="A2:L2"/>
    <mergeCell ref="A14:F14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59E0B"/>
    <outlinePr summaryBelow="1" summaryRight="1"/>
    <pageSetUpPr/>
  </sheetPr>
  <dimension ref="A1:J118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5" customWidth="1" min="3" max="3"/>
    <col width="16" customWidth="1" min="4" max="4"/>
    <col width="12" customWidth="1" min="5" max="5"/>
    <col width="14" customWidth="1" min="6" max="6"/>
    <col width="18" customWidth="1" min="7" max="7"/>
    <col width="16" customWidth="1" min="8" max="8"/>
    <col width="16" customWidth="1" min="9" max="9"/>
  </cols>
  <sheetData>
    <row r="1">
      <c r="A1" s="17" t="inlineStr">
        <is>
          <t>VIRORAH PMS — Increment Calculator</t>
        </is>
      </c>
    </row>
    <row r="2">
      <c r="A2" s="13" t="inlineStr">
        <is>
          <t>Budget-constrained salary increment allocation. Adjust assumptions in the yellow cells.</t>
        </is>
      </c>
    </row>
    <row r="3">
      <c r="A3" s="3" t="n"/>
    </row>
    <row r="4" ht="22" customHeight="1">
      <c r="A4" s="55" t="inlineStr">
        <is>
          <t>ASSUMPTIONS (edit yellow cells)</t>
        </is>
      </c>
    </row>
    <row r="5" ht="20" customHeight="1">
      <c r="A5" s="56" t="inlineStr">
        <is>
          <t>Increment Budget % of Total Payroll</t>
        </is>
      </c>
      <c r="B5" s="57" t="n">
        <v>0.08</v>
      </c>
      <c r="C5" s="58" t="inlineStr">
        <is>
          <t>Change this to your actual budget</t>
        </is>
      </c>
    </row>
    <row r="6" ht="20" customHeight="1">
      <c r="A6" s="56" t="inlineStr">
        <is>
          <t>Rating 5 Increment %</t>
        </is>
      </c>
      <c r="B6" s="57" t="n">
        <v>0.12</v>
      </c>
      <c r="C6" s="58" t="inlineStr">
        <is>
          <t>Outstanding performers</t>
        </is>
      </c>
    </row>
    <row r="7" ht="20" customHeight="1">
      <c r="A7" s="56" t="inlineStr">
        <is>
          <t>Rating 4 Increment %</t>
        </is>
      </c>
      <c r="B7" s="57" t="n">
        <v>0.1</v>
      </c>
      <c r="C7" s="58" t="inlineStr">
        <is>
          <t>Exceeds expectations</t>
        </is>
      </c>
    </row>
    <row r="8" ht="20" customHeight="1">
      <c r="A8" s="56" t="inlineStr">
        <is>
          <t>Rating 3 Increment %</t>
        </is>
      </c>
      <c r="B8" s="57" t="n">
        <v>0.08</v>
      </c>
      <c r="C8" s="58" t="inlineStr">
        <is>
          <t>Meets expectations</t>
        </is>
      </c>
    </row>
    <row r="9" ht="20" customHeight="1">
      <c r="A9" s="56" t="inlineStr">
        <is>
          <t>Rating 2 Increment %</t>
        </is>
      </c>
      <c r="B9" s="57" t="n">
        <v>0.05</v>
      </c>
      <c r="C9" s="58" t="inlineStr">
        <is>
          <t>Below expectations</t>
        </is>
      </c>
    </row>
    <row r="10" ht="20" customHeight="1">
      <c r="A10" s="56" t="inlineStr">
        <is>
          <t>Rating 1 Increment %</t>
        </is>
      </c>
      <c r="B10" s="57" t="n">
        <v>0.02</v>
      </c>
      <c r="C10" s="58" t="inlineStr">
        <is>
          <t>Needs improvement</t>
        </is>
      </c>
    </row>
    <row r="11" ht="22" customHeight="1">
      <c r="A11" s="55" t="inlineStr">
        <is>
          <t>BUDGET SUMMARY</t>
        </is>
      </c>
    </row>
    <row r="12" ht="20" customHeight="1">
      <c r="A12" s="8" t="inlineStr">
        <is>
          <t>Total Payroll</t>
        </is>
      </c>
      <c r="B12" s="59">
        <f>SUMIF('Employee Data'!B7:B2000,"&gt;0",'Employee Data'!D7:D2000)</f>
        <v/>
      </c>
      <c r="C12" s="8" t="n"/>
    </row>
    <row r="13" ht="20" customHeight="1">
      <c r="A13" s="6" t="inlineStr">
        <is>
          <t>Total Increment Budget</t>
        </is>
      </c>
      <c r="B13" s="60">
        <f>B12*B5</f>
        <v/>
      </c>
      <c r="C13" s="6" t="n"/>
    </row>
    <row r="14" ht="20" customHeight="1">
      <c r="A14" s="8" t="inlineStr">
        <is>
          <t>Allocated Increments</t>
        </is>
      </c>
      <c r="B14" s="59">
        <f>SUMPRODUCT(('Employee Data'!B7:B500&gt;0)*'Employee Data'!D7:D500*(('Employee Data'!B7:B500=5)*$B$10+('Employee Data'!B7:B500=4)*$B$9+('Employee Data'!B7:B500=3)*$B$8+('Employee Data'!B7:B500=2)*$B$7+('Employee Data'!B7:B500=1)*$B$6))</f>
        <v/>
      </c>
      <c r="C14" s="8" t="n"/>
    </row>
    <row r="15" ht="20" customHeight="1">
      <c r="A15" s="6" t="inlineStr">
        <is>
          <t>Budget Remaining</t>
        </is>
      </c>
      <c r="B15" s="60">
        <f>B13-B14</f>
        <v/>
      </c>
      <c r="C15" s="6" t="n"/>
    </row>
    <row r="16" ht="20" customHeight="1">
      <c r="A16" s="8" t="inlineStr">
        <is>
          <t>Budget Utilisation %</t>
        </is>
      </c>
      <c r="B16" s="54">
        <f>IFERROR(B14/B13,0)</f>
        <v/>
      </c>
      <c r="C16" s="8" t="n"/>
    </row>
    <row r="18" ht="24" customHeight="1">
      <c r="A18" s="15" t="inlineStr">
        <is>
          <t>Employee Name</t>
        </is>
      </c>
      <c r="B18" s="15" t="inlineStr">
        <is>
          <t>Dept</t>
        </is>
      </c>
      <c r="C18" s="15" t="inlineStr">
        <is>
          <t>Level</t>
        </is>
      </c>
      <c r="D18" s="15" t="inlineStr">
        <is>
          <t>Current Salary</t>
        </is>
      </c>
      <c r="E18" s="15" t="inlineStr">
        <is>
          <t>Perf Rating</t>
        </is>
      </c>
      <c r="F18" s="15" t="inlineStr">
        <is>
          <t>Increment %</t>
        </is>
      </c>
      <c r="G18" s="15" t="inlineStr">
        <is>
          <t>Increment Amount</t>
        </is>
      </c>
      <c r="H18" s="15" t="inlineStr">
        <is>
          <t>New Salary</t>
        </is>
      </c>
      <c r="I18" s="15" t="inlineStr">
        <is>
          <t>Effective Date</t>
        </is>
      </c>
    </row>
    <row r="19" ht="18" customHeight="1">
      <c r="A19" s="61">
        <f>'Employee Data'!A7</f>
        <v/>
      </c>
      <c r="B19" s="61">
        <f>'Employee Data'!G7</f>
        <v/>
      </c>
      <c r="C19" s="61">
        <f>'Employee Data'!F7</f>
        <v/>
      </c>
      <c r="D19" s="62">
        <f>'Employee Data'!D7</f>
        <v/>
      </c>
      <c r="E19" s="63">
        <f>'Employee Data'!B7</f>
        <v/>
      </c>
      <c r="F19" s="64">
        <f>IF(E19=5,$B$10,IF(E19=4,$B$9,IF(E19=3,$B$8,IF(E19=2,$B$7,IF(E19=1,$B$6,0)))))</f>
        <v/>
      </c>
      <c r="G19" s="65">
        <f>IF(D19&gt;0,D19*F19,"")</f>
        <v/>
      </c>
      <c r="H19" s="65">
        <f>IF(D19&gt;0,D19+G19,"")</f>
        <v/>
      </c>
      <c r="I19" s="63" t="inlineStr"/>
    </row>
    <row r="20" ht="18" customHeight="1">
      <c r="A20" s="66">
        <f>'Employee Data'!A8</f>
        <v/>
      </c>
      <c r="B20" s="66">
        <f>'Employee Data'!G8</f>
        <v/>
      </c>
      <c r="C20" s="66">
        <f>'Employee Data'!F8</f>
        <v/>
      </c>
      <c r="D20" s="67">
        <f>'Employee Data'!D8</f>
        <v/>
      </c>
      <c r="E20" s="68">
        <f>'Employee Data'!B8</f>
        <v/>
      </c>
      <c r="F20" s="69">
        <f>IF(E20=5,$B$10,IF(E20=4,$B$9,IF(E20=3,$B$8,IF(E20=2,$B$7,IF(E20=1,$B$6,0)))))</f>
        <v/>
      </c>
      <c r="G20" s="70">
        <f>IF(D20&gt;0,D20*F20,"")</f>
        <v/>
      </c>
      <c r="H20" s="70">
        <f>IF(D20&gt;0,D20+G20,"")</f>
        <v/>
      </c>
      <c r="I20" s="68" t="inlineStr"/>
    </row>
    <row r="21" ht="18" customHeight="1">
      <c r="A21" s="61">
        <f>'Employee Data'!A9</f>
        <v/>
      </c>
      <c r="B21" s="61">
        <f>'Employee Data'!G9</f>
        <v/>
      </c>
      <c r="C21" s="61">
        <f>'Employee Data'!F9</f>
        <v/>
      </c>
      <c r="D21" s="62">
        <f>'Employee Data'!D9</f>
        <v/>
      </c>
      <c r="E21" s="63">
        <f>'Employee Data'!B9</f>
        <v/>
      </c>
      <c r="F21" s="64">
        <f>IF(E21=5,$B$10,IF(E21=4,$B$9,IF(E21=3,$B$8,IF(E21=2,$B$7,IF(E21=1,$B$6,0)))))</f>
        <v/>
      </c>
      <c r="G21" s="65">
        <f>IF(D21&gt;0,D21*F21,"")</f>
        <v/>
      </c>
      <c r="H21" s="65">
        <f>IF(D21&gt;0,D21+G21,"")</f>
        <v/>
      </c>
      <c r="I21" s="63" t="inlineStr"/>
    </row>
    <row r="22" ht="18" customHeight="1">
      <c r="A22" s="66">
        <f>'Employee Data'!A10</f>
        <v/>
      </c>
      <c r="B22" s="66">
        <f>'Employee Data'!G10</f>
        <v/>
      </c>
      <c r="C22" s="66">
        <f>'Employee Data'!F10</f>
        <v/>
      </c>
      <c r="D22" s="67">
        <f>'Employee Data'!D10</f>
        <v/>
      </c>
      <c r="E22" s="68">
        <f>'Employee Data'!B10</f>
        <v/>
      </c>
      <c r="F22" s="69">
        <f>IF(E22=5,$B$10,IF(E22=4,$B$9,IF(E22=3,$B$8,IF(E22=2,$B$7,IF(E22=1,$B$6,0)))))</f>
        <v/>
      </c>
      <c r="G22" s="70">
        <f>IF(D22&gt;0,D22*F22,"")</f>
        <v/>
      </c>
      <c r="H22" s="70">
        <f>IF(D22&gt;0,D22+G22,"")</f>
        <v/>
      </c>
      <c r="I22" s="68" t="inlineStr"/>
    </row>
    <row r="23" ht="18" customHeight="1">
      <c r="A23" s="61">
        <f>'Employee Data'!A11</f>
        <v/>
      </c>
      <c r="B23" s="61">
        <f>'Employee Data'!G11</f>
        <v/>
      </c>
      <c r="C23" s="61">
        <f>'Employee Data'!F11</f>
        <v/>
      </c>
      <c r="D23" s="62">
        <f>'Employee Data'!D11</f>
        <v/>
      </c>
      <c r="E23" s="63">
        <f>'Employee Data'!B11</f>
        <v/>
      </c>
      <c r="F23" s="64">
        <f>IF(E23=5,$B$10,IF(E23=4,$B$9,IF(E23=3,$B$8,IF(E23=2,$B$7,IF(E23=1,$B$6,0)))))</f>
        <v/>
      </c>
      <c r="G23" s="65">
        <f>IF(D23&gt;0,D23*F23,"")</f>
        <v/>
      </c>
      <c r="H23" s="65">
        <f>IF(D23&gt;0,D23+G23,"")</f>
        <v/>
      </c>
      <c r="I23" s="63" t="inlineStr"/>
    </row>
    <row r="24" ht="18" customHeight="1">
      <c r="A24" s="66">
        <f>'Employee Data'!A12</f>
        <v/>
      </c>
      <c r="B24" s="66">
        <f>'Employee Data'!G12</f>
        <v/>
      </c>
      <c r="C24" s="66">
        <f>'Employee Data'!F12</f>
        <v/>
      </c>
      <c r="D24" s="67">
        <f>'Employee Data'!D12</f>
        <v/>
      </c>
      <c r="E24" s="68">
        <f>'Employee Data'!B12</f>
        <v/>
      </c>
      <c r="F24" s="69">
        <f>IF(E24=5,$B$10,IF(E24=4,$B$9,IF(E24=3,$B$8,IF(E24=2,$B$7,IF(E24=1,$B$6,0)))))</f>
        <v/>
      </c>
      <c r="G24" s="70">
        <f>IF(D24&gt;0,D24*F24,"")</f>
        <v/>
      </c>
      <c r="H24" s="70">
        <f>IF(D24&gt;0,D24+G24,"")</f>
        <v/>
      </c>
      <c r="I24" s="68" t="inlineStr"/>
    </row>
    <row r="25" ht="18" customHeight="1">
      <c r="A25" s="61">
        <f>'Employee Data'!A13</f>
        <v/>
      </c>
      <c r="B25" s="61">
        <f>'Employee Data'!G13</f>
        <v/>
      </c>
      <c r="C25" s="61">
        <f>'Employee Data'!F13</f>
        <v/>
      </c>
      <c r="D25" s="62">
        <f>'Employee Data'!D13</f>
        <v/>
      </c>
      <c r="E25" s="63">
        <f>'Employee Data'!B13</f>
        <v/>
      </c>
      <c r="F25" s="64">
        <f>IF(E25=5,$B$10,IF(E25=4,$B$9,IF(E25=3,$B$8,IF(E25=2,$B$7,IF(E25=1,$B$6,0)))))</f>
        <v/>
      </c>
      <c r="G25" s="65">
        <f>IF(D25&gt;0,D25*F25,"")</f>
        <v/>
      </c>
      <c r="H25" s="65">
        <f>IF(D25&gt;0,D25+G25,"")</f>
        <v/>
      </c>
      <c r="I25" s="63" t="inlineStr"/>
    </row>
    <row r="26" ht="18" customHeight="1">
      <c r="A26" s="66">
        <f>'Employee Data'!A14</f>
        <v/>
      </c>
      <c r="B26" s="66">
        <f>'Employee Data'!G14</f>
        <v/>
      </c>
      <c r="C26" s="66">
        <f>'Employee Data'!F14</f>
        <v/>
      </c>
      <c r="D26" s="67">
        <f>'Employee Data'!D14</f>
        <v/>
      </c>
      <c r="E26" s="68">
        <f>'Employee Data'!B14</f>
        <v/>
      </c>
      <c r="F26" s="69">
        <f>IF(E26=5,$B$10,IF(E26=4,$B$9,IF(E26=3,$B$8,IF(E26=2,$B$7,IF(E26=1,$B$6,0)))))</f>
        <v/>
      </c>
      <c r="G26" s="70">
        <f>IF(D26&gt;0,D26*F26,"")</f>
        <v/>
      </c>
      <c r="H26" s="70">
        <f>IF(D26&gt;0,D26+G26,"")</f>
        <v/>
      </c>
      <c r="I26" s="68" t="inlineStr"/>
    </row>
    <row r="27" ht="18" customHeight="1">
      <c r="A27" s="61">
        <f>'Employee Data'!A15</f>
        <v/>
      </c>
      <c r="B27" s="61">
        <f>'Employee Data'!G15</f>
        <v/>
      </c>
      <c r="C27" s="61">
        <f>'Employee Data'!F15</f>
        <v/>
      </c>
      <c r="D27" s="62">
        <f>'Employee Data'!D15</f>
        <v/>
      </c>
      <c r="E27" s="63">
        <f>'Employee Data'!B15</f>
        <v/>
      </c>
      <c r="F27" s="64">
        <f>IF(E27=5,$B$10,IF(E27=4,$B$9,IF(E27=3,$B$8,IF(E27=2,$B$7,IF(E27=1,$B$6,0)))))</f>
        <v/>
      </c>
      <c r="G27" s="65">
        <f>IF(D27&gt;0,D27*F27,"")</f>
        <v/>
      </c>
      <c r="H27" s="65">
        <f>IF(D27&gt;0,D27+G27,"")</f>
        <v/>
      </c>
      <c r="I27" s="63" t="inlineStr"/>
    </row>
    <row r="28" ht="18" customHeight="1">
      <c r="A28" s="66">
        <f>'Employee Data'!A16</f>
        <v/>
      </c>
      <c r="B28" s="66">
        <f>'Employee Data'!G16</f>
        <v/>
      </c>
      <c r="C28" s="66">
        <f>'Employee Data'!F16</f>
        <v/>
      </c>
      <c r="D28" s="67">
        <f>'Employee Data'!D16</f>
        <v/>
      </c>
      <c r="E28" s="68">
        <f>'Employee Data'!B16</f>
        <v/>
      </c>
      <c r="F28" s="69">
        <f>IF(E28=5,$B$10,IF(E28=4,$B$9,IF(E28=3,$B$8,IF(E28=2,$B$7,IF(E28=1,$B$6,0)))))</f>
        <v/>
      </c>
      <c r="G28" s="70">
        <f>IF(D28&gt;0,D28*F28,"")</f>
        <v/>
      </c>
      <c r="H28" s="70">
        <f>IF(D28&gt;0,D28+G28,"")</f>
        <v/>
      </c>
      <c r="I28" s="68" t="inlineStr"/>
    </row>
    <row r="29" ht="18" customHeight="1">
      <c r="A29" s="61">
        <f>'Employee Data'!A17</f>
        <v/>
      </c>
      <c r="B29" s="61">
        <f>'Employee Data'!G17</f>
        <v/>
      </c>
      <c r="C29" s="61">
        <f>'Employee Data'!F17</f>
        <v/>
      </c>
      <c r="D29" s="62">
        <f>'Employee Data'!D17</f>
        <v/>
      </c>
      <c r="E29" s="63">
        <f>'Employee Data'!B17</f>
        <v/>
      </c>
      <c r="F29" s="64">
        <f>IF(E29=5,$B$10,IF(E29=4,$B$9,IF(E29=3,$B$8,IF(E29=2,$B$7,IF(E29=1,$B$6,0)))))</f>
        <v/>
      </c>
      <c r="G29" s="65">
        <f>IF(D29&gt;0,D29*F29,"")</f>
        <v/>
      </c>
      <c r="H29" s="65">
        <f>IF(D29&gt;0,D29+G29,"")</f>
        <v/>
      </c>
      <c r="I29" s="63" t="inlineStr"/>
    </row>
    <row r="30" ht="18" customHeight="1">
      <c r="A30" s="66">
        <f>'Employee Data'!A18</f>
        <v/>
      </c>
      <c r="B30" s="66">
        <f>'Employee Data'!G18</f>
        <v/>
      </c>
      <c r="C30" s="66">
        <f>'Employee Data'!F18</f>
        <v/>
      </c>
      <c r="D30" s="67">
        <f>'Employee Data'!D18</f>
        <v/>
      </c>
      <c r="E30" s="68">
        <f>'Employee Data'!B18</f>
        <v/>
      </c>
      <c r="F30" s="69">
        <f>IF(E30=5,$B$10,IF(E30=4,$B$9,IF(E30=3,$B$8,IF(E30=2,$B$7,IF(E30=1,$B$6,0)))))</f>
        <v/>
      </c>
      <c r="G30" s="70">
        <f>IF(D30&gt;0,D30*F30,"")</f>
        <v/>
      </c>
      <c r="H30" s="70">
        <f>IF(D30&gt;0,D30+G30,"")</f>
        <v/>
      </c>
      <c r="I30" s="68" t="inlineStr"/>
    </row>
    <row r="31" ht="18" customHeight="1">
      <c r="A31" s="61">
        <f>'Employee Data'!A19</f>
        <v/>
      </c>
      <c r="B31" s="61">
        <f>'Employee Data'!G19</f>
        <v/>
      </c>
      <c r="C31" s="61">
        <f>'Employee Data'!F19</f>
        <v/>
      </c>
      <c r="D31" s="62">
        <f>'Employee Data'!D19</f>
        <v/>
      </c>
      <c r="E31" s="63">
        <f>'Employee Data'!B19</f>
        <v/>
      </c>
      <c r="F31" s="64">
        <f>IF(E31=5,$B$10,IF(E31=4,$B$9,IF(E31=3,$B$8,IF(E31=2,$B$7,IF(E31=1,$B$6,0)))))</f>
        <v/>
      </c>
      <c r="G31" s="65">
        <f>IF(D31&gt;0,D31*F31,"")</f>
        <v/>
      </c>
      <c r="H31" s="65">
        <f>IF(D31&gt;0,D31+G31,"")</f>
        <v/>
      </c>
      <c r="I31" s="63" t="inlineStr"/>
    </row>
    <row r="32" ht="18" customHeight="1">
      <c r="A32" s="66">
        <f>'Employee Data'!A20</f>
        <v/>
      </c>
      <c r="B32" s="66">
        <f>'Employee Data'!G20</f>
        <v/>
      </c>
      <c r="C32" s="66">
        <f>'Employee Data'!F20</f>
        <v/>
      </c>
      <c r="D32" s="67">
        <f>'Employee Data'!D20</f>
        <v/>
      </c>
      <c r="E32" s="68">
        <f>'Employee Data'!B20</f>
        <v/>
      </c>
      <c r="F32" s="69">
        <f>IF(E32=5,$B$10,IF(E32=4,$B$9,IF(E32=3,$B$8,IF(E32=2,$B$7,IF(E32=1,$B$6,0)))))</f>
        <v/>
      </c>
      <c r="G32" s="70">
        <f>IF(D32&gt;0,D32*F32,"")</f>
        <v/>
      </c>
      <c r="H32" s="70">
        <f>IF(D32&gt;0,D32+G32,"")</f>
        <v/>
      </c>
      <c r="I32" s="68" t="inlineStr"/>
    </row>
    <row r="33" ht="18" customHeight="1">
      <c r="A33" s="61">
        <f>'Employee Data'!A21</f>
        <v/>
      </c>
      <c r="B33" s="61">
        <f>'Employee Data'!G21</f>
        <v/>
      </c>
      <c r="C33" s="61">
        <f>'Employee Data'!F21</f>
        <v/>
      </c>
      <c r="D33" s="62">
        <f>'Employee Data'!D21</f>
        <v/>
      </c>
      <c r="E33" s="63">
        <f>'Employee Data'!B21</f>
        <v/>
      </c>
      <c r="F33" s="64">
        <f>IF(E33=5,$B$10,IF(E33=4,$B$9,IF(E33=3,$B$8,IF(E33=2,$B$7,IF(E33=1,$B$6,0)))))</f>
        <v/>
      </c>
      <c r="G33" s="65">
        <f>IF(D33&gt;0,D33*F33,"")</f>
        <v/>
      </c>
      <c r="H33" s="65">
        <f>IF(D33&gt;0,D33+G33,"")</f>
        <v/>
      </c>
      <c r="I33" s="63" t="inlineStr"/>
    </row>
    <row r="34" ht="18" customHeight="1">
      <c r="A34" s="66">
        <f>'Employee Data'!A22</f>
        <v/>
      </c>
      <c r="B34" s="66">
        <f>'Employee Data'!G22</f>
        <v/>
      </c>
      <c r="C34" s="66">
        <f>'Employee Data'!F22</f>
        <v/>
      </c>
      <c r="D34" s="67">
        <f>'Employee Data'!D22</f>
        <v/>
      </c>
      <c r="E34" s="68">
        <f>'Employee Data'!B22</f>
        <v/>
      </c>
      <c r="F34" s="69">
        <f>IF(E34=5,$B$10,IF(E34=4,$B$9,IF(E34=3,$B$8,IF(E34=2,$B$7,IF(E34=1,$B$6,0)))))</f>
        <v/>
      </c>
      <c r="G34" s="70">
        <f>IF(D34&gt;0,D34*F34,"")</f>
        <v/>
      </c>
      <c r="H34" s="70">
        <f>IF(D34&gt;0,D34+G34,"")</f>
        <v/>
      </c>
      <c r="I34" s="68" t="inlineStr"/>
    </row>
    <row r="35" ht="18" customHeight="1">
      <c r="A35" s="61">
        <f>'Employee Data'!A23</f>
        <v/>
      </c>
      <c r="B35" s="61">
        <f>'Employee Data'!G23</f>
        <v/>
      </c>
      <c r="C35" s="61">
        <f>'Employee Data'!F23</f>
        <v/>
      </c>
      <c r="D35" s="62">
        <f>'Employee Data'!D23</f>
        <v/>
      </c>
      <c r="E35" s="63">
        <f>'Employee Data'!B23</f>
        <v/>
      </c>
      <c r="F35" s="64">
        <f>IF(E35=5,$B$10,IF(E35=4,$B$9,IF(E35=3,$B$8,IF(E35=2,$B$7,IF(E35=1,$B$6,0)))))</f>
        <v/>
      </c>
      <c r="G35" s="65">
        <f>IF(D35&gt;0,D35*F35,"")</f>
        <v/>
      </c>
      <c r="H35" s="65">
        <f>IF(D35&gt;0,D35+G35,"")</f>
        <v/>
      </c>
      <c r="I35" s="63" t="inlineStr"/>
    </row>
    <row r="36" ht="18" customHeight="1">
      <c r="A36" s="66">
        <f>'Employee Data'!A24</f>
        <v/>
      </c>
      <c r="B36" s="66">
        <f>'Employee Data'!G24</f>
        <v/>
      </c>
      <c r="C36" s="66">
        <f>'Employee Data'!F24</f>
        <v/>
      </c>
      <c r="D36" s="67">
        <f>'Employee Data'!D24</f>
        <v/>
      </c>
      <c r="E36" s="68">
        <f>'Employee Data'!B24</f>
        <v/>
      </c>
      <c r="F36" s="69">
        <f>IF(E36=5,$B$10,IF(E36=4,$B$9,IF(E36=3,$B$8,IF(E36=2,$B$7,IF(E36=1,$B$6,0)))))</f>
        <v/>
      </c>
      <c r="G36" s="70">
        <f>IF(D36&gt;0,D36*F36,"")</f>
        <v/>
      </c>
      <c r="H36" s="70">
        <f>IF(D36&gt;0,D36+G36,"")</f>
        <v/>
      </c>
      <c r="I36" s="68" t="inlineStr"/>
    </row>
    <row r="37" ht="18" customHeight="1">
      <c r="A37" s="61">
        <f>'Employee Data'!A25</f>
        <v/>
      </c>
      <c r="B37" s="61">
        <f>'Employee Data'!G25</f>
        <v/>
      </c>
      <c r="C37" s="61">
        <f>'Employee Data'!F25</f>
        <v/>
      </c>
      <c r="D37" s="62">
        <f>'Employee Data'!D25</f>
        <v/>
      </c>
      <c r="E37" s="63">
        <f>'Employee Data'!B25</f>
        <v/>
      </c>
      <c r="F37" s="64">
        <f>IF(E37=5,$B$10,IF(E37=4,$B$9,IF(E37=3,$B$8,IF(E37=2,$B$7,IF(E37=1,$B$6,0)))))</f>
        <v/>
      </c>
      <c r="G37" s="65">
        <f>IF(D37&gt;0,D37*F37,"")</f>
        <v/>
      </c>
      <c r="H37" s="65">
        <f>IF(D37&gt;0,D37+G37,"")</f>
        <v/>
      </c>
      <c r="I37" s="63" t="inlineStr"/>
    </row>
    <row r="38" ht="18" customHeight="1">
      <c r="A38" s="66">
        <f>'Employee Data'!A26</f>
        <v/>
      </c>
      <c r="B38" s="66">
        <f>'Employee Data'!G26</f>
        <v/>
      </c>
      <c r="C38" s="66">
        <f>'Employee Data'!F26</f>
        <v/>
      </c>
      <c r="D38" s="67">
        <f>'Employee Data'!D26</f>
        <v/>
      </c>
      <c r="E38" s="68">
        <f>'Employee Data'!B26</f>
        <v/>
      </c>
      <c r="F38" s="69">
        <f>IF(E38=5,$B$10,IF(E38=4,$B$9,IF(E38=3,$B$8,IF(E38=2,$B$7,IF(E38=1,$B$6,0)))))</f>
        <v/>
      </c>
      <c r="G38" s="70">
        <f>IF(D38&gt;0,D38*F38,"")</f>
        <v/>
      </c>
      <c r="H38" s="70">
        <f>IF(D38&gt;0,D38+G38,"")</f>
        <v/>
      </c>
      <c r="I38" s="68" t="inlineStr"/>
    </row>
    <row r="39" ht="18" customHeight="1">
      <c r="A39" s="61">
        <f>'Employee Data'!A27</f>
        <v/>
      </c>
      <c r="B39" s="61">
        <f>'Employee Data'!G27</f>
        <v/>
      </c>
      <c r="C39" s="61">
        <f>'Employee Data'!F27</f>
        <v/>
      </c>
      <c r="D39" s="62">
        <f>'Employee Data'!D27</f>
        <v/>
      </c>
      <c r="E39" s="63">
        <f>'Employee Data'!B27</f>
        <v/>
      </c>
      <c r="F39" s="64">
        <f>IF(E39=5,$B$10,IF(E39=4,$B$9,IF(E39=3,$B$8,IF(E39=2,$B$7,IF(E39=1,$B$6,0)))))</f>
        <v/>
      </c>
      <c r="G39" s="65">
        <f>IF(D39&gt;0,D39*F39,"")</f>
        <v/>
      </c>
      <c r="H39" s="65">
        <f>IF(D39&gt;0,D39+G39,"")</f>
        <v/>
      </c>
      <c r="I39" s="63" t="inlineStr"/>
    </row>
    <row r="40" ht="18" customHeight="1">
      <c r="A40" s="66">
        <f>'Employee Data'!A28</f>
        <v/>
      </c>
      <c r="B40" s="66">
        <f>'Employee Data'!G28</f>
        <v/>
      </c>
      <c r="C40" s="66">
        <f>'Employee Data'!F28</f>
        <v/>
      </c>
      <c r="D40" s="67">
        <f>'Employee Data'!D28</f>
        <v/>
      </c>
      <c r="E40" s="68">
        <f>'Employee Data'!B28</f>
        <v/>
      </c>
      <c r="F40" s="69">
        <f>IF(E40=5,$B$10,IF(E40=4,$B$9,IF(E40=3,$B$8,IF(E40=2,$B$7,IF(E40=1,$B$6,0)))))</f>
        <v/>
      </c>
      <c r="G40" s="70">
        <f>IF(D40&gt;0,D40*F40,"")</f>
        <v/>
      </c>
      <c r="H40" s="70">
        <f>IF(D40&gt;0,D40+G40,"")</f>
        <v/>
      </c>
      <c r="I40" s="68" t="inlineStr"/>
    </row>
    <row r="41" ht="18" customHeight="1">
      <c r="A41" s="61">
        <f>'Employee Data'!A29</f>
        <v/>
      </c>
      <c r="B41" s="61">
        <f>'Employee Data'!G29</f>
        <v/>
      </c>
      <c r="C41" s="61">
        <f>'Employee Data'!F29</f>
        <v/>
      </c>
      <c r="D41" s="62">
        <f>'Employee Data'!D29</f>
        <v/>
      </c>
      <c r="E41" s="63">
        <f>'Employee Data'!B29</f>
        <v/>
      </c>
      <c r="F41" s="64">
        <f>IF(E41=5,$B$10,IF(E41=4,$B$9,IF(E41=3,$B$8,IF(E41=2,$B$7,IF(E41=1,$B$6,0)))))</f>
        <v/>
      </c>
      <c r="G41" s="65">
        <f>IF(D41&gt;0,D41*F41,"")</f>
        <v/>
      </c>
      <c r="H41" s="65">
        <f>IF(D41&gt;0,D41+G41,"")</f>
        <v/>
      </c>
      <c r="I41" s="63" t="inlineStr"/>
    </row>
    <row r="42" ht="18" customHeight="1">
      <c r="A42" s="66">
        <f>'Employee Data'!A30</f>
        <v/>
      </c>
      <c r="B42" s="66">
        <f>'Employee Data'!G30</f>
        <v/>
      </c>
      <c r="C42" s="66">
        <f>'Employee Data'!F30</f>
        <v/>
      </c>
      <c r="D42" s="67">
        <f>'Employee Data'!D30</f>
        <v/>
      </c>
      <c r="E42" s="68">
        <f>'Employee Data'!B30</f>
        <v/>
      </c>
      <c r="F42" s="69">
        <f>IF(E42=5,$B$10,IF(E42=4,$B$9,IF(E42=3,$B$8,IF(E42=2,$B$7,IF(E42=1,$B$6,0)))))</f>
        <v/>
      </c>
      <c r="G42" s="70">
        <f>IF(D42&gt;0,D42*F42,"")</f>
        <v/>
      </c>
      <c r="H42" s="70">
        <f>IF(D42&gt;0,D42+G42,"")</f>
        <v/>
      </c>
      <c r="I42" s="68" t="inlineStr"/>
    </row>
    <row r="43" ht="18" customHeight="1">
      <c r="A43" s="61">
        <f>'Employee Data'!A31</f>
        <v/>
      </c>
      <c r="B43" s="61">
        <f>'Employee Data'!G31</f>
        <v/>
      </c>
      <c r="C43" s="61">
        <f>'Employee Data'!F31</f>
        <v/>
      </c>
      <c r="D43" s="62">
        <f>'Employee Data'!D31</f>
        <v/>
      </c>
      <c r="E43" s="63">
        <f>'Employee Data'!B31</f>
        <v/>
      </c>
      <c r="F43" s="64">
        <f>IF(E43=5,$B$10,IF(E43=4,$B$9,IF(E43=3,$B$8,IF(E43=2,$B$7,IF(E43=1,$B$6,0)))))</f>
        <v/>
      </c>
      <c r="G43" s="65">
        <f>IF(D43&gt;0,D43*F43,"")</f>
        <v/>
      </c>
      <c r="H43" s="65">
        <f>IF(D43&gt;0,D43+G43,"")</f>
        <v/>
      </c>
      <c r="I43" s="63" t="inlineStr"/>
    </row>
    <row r="44" ht="18" customHeight="1">
      <c r="A44" s="66">
        <f>'Employee Data'!A32</f>
        <v/>
      </c>
      <c r="B44" s="66">
        <f>'Employee Data'!G32</f>
        <v/>
      </c>
      <c r="C44" s="66">
        <f>'Employee Data'!F32</f>
        <v/>
      </c>
      <c r="D44" s="67">
        <f>'Employee Data'!D32</f>
        <v/>
      </c>
      <c r="E44" s="68">
        <f>'Employee Data'!B32</f>
        <v/>
      </c>
      <c r="F44" s="69">
        <f>IF(E44=5,$B$10,IF(E44=4,$B$9,IF(E44=3,$B$8,IF(E44=2,$B$7,IF(E44=1,$B$6,0)))))</f>
        <v/>
      </c>
      <c r="G44" s="70">
        <f>IF(D44&gt;0,D44*F44,"")</f>
        <v/>
      </c>
      <c r="H44" s="70">
        <f>IF(D44&gt;0,D44+G44,"")</f>
        <v/>
      </c>
      <c r="I44" s="68" t="inlineStr"/>
    </row>
    <row r="45" ht="18" customHeight="1">
      <c r="A45" s="61">
        <f>'Employee Data'!A33</f>
        <v/>
      </c>
      <c r="B45" s="61">
        <f>'Employee Data'!G33</f>
        <v/>
      </c>
      <c r="C45" s="61">
        <f>'Employee Data'!F33</f>
        <v/>
      </c>
      <c r="D45" s="62">
        <f>'Employee Data'!D33</f>
        <v/>
      </c>
      <c r="E45" s="63">
        <f>'Employee Data'!B33</f>
        <v/>
      </c>
      <c r="F45" s="64">
        <f>IF(E45=5,$B$10,IF(E45=4,$B$9,IF(E45=3,$B$8,IF(E45=2,$B$7,IF(E45=1,$B$6,0)))))</f>
        <v/>
      </c>
      <c r="G45" s="65">
        <f>IF(D45&gt;0,D45*F45,"")</f>
        <v/>
      </c>
      <c r="H45" s="65">
        <f>IF(D45&gt;0,D45+G45,"")</f>
        <v/>
      </c>
      <c r="I45" s="63" t="inlineStr"/>
    </row>
    <row r="46" ht="18" customHeight="1">
      <c r="A46" s="66">
        <f>'Employee Data'!A34</f>
        <v/>
      </c>
      <c r="B46" s="66">
        <f>'Employee Data'!G34</f>
        <v/>
      </c>
      <c r="C46" s="66">
        <f>'Employee Data'!F34</f>
        <v/>
      </c>
      <c r="D46" s="67">
        <f>'Employee Data'!D34</f>
        <v/>
      </c>
      <c r="E46" s="68">
        <f>'Employee Data'!B34</f>
        <v/>
      </c>
      <c r="F46" s="69">
        <f>IF(E46=5,$B$10,IF(E46=4,$B$9,IF(E46=3,$B$8,IF(E46=2,$B$7,IF(E46=1,$B$6,0)))))</f>
        <v/>
      </c>
      <c r="G46" s="70">
        <f>IF(D46&gt;0,D46*F46,"")</f>
        <v/>
      </c>
      <c r="H46" s="70">
        <f>IF(D46&gt;0,D46+G46,"")</f>
        <v/>
      </c>
      <c r="I46" s="68" t="inlineStr"/>
    </row>
    <row r="47" ht="18" customHeight="1">
      <c r="A47" s="61">
        <f>'Employee Data'!A35</f>
        <v/>
      </c>
      <c r="B47" s="61">
        <f>'Employee Data'!G35</f>
        <v/>
      </c>
      <c r="C47" s="61">
        <f>'Employee Data'!F35</f>
        <v/>
      </c>
      <c r="D47" s="62">
        <f>'Employee Data'!D35</f>
        <v/>
      </c>
      <c r="E47" s="63">
        <f>'Employee Data'!B35</f>
        <v/>
      </c>
      <c r="F47" s="64">
        <f>IF(E47=5,$B$10,IF(E47=4,$B$9,IF(E47=3,$B$8,IF(E47=2,$B$7,IF(E47=1,$B$6,0)))))</f>
        <v/>
      </c>
      <c r="G47" s="65">
        <f>IF(D47&gt;0,D47*F47,"")</f>
        <v/>
      </c>
      <c r="H47" s="65">
        <f>IF(D47&gt;0,D47+G47,"")</f>
        <v/>
      </c>
      <c r="I47" s="63" t="inlineStr"/>
    </row>
    <row r="48" ht="18" customHeight="1">
      <c r="A48" s="66">
        <f>'Employee Data'!A36</f>
        <v/>
      </c>
      <c r="B48" s="66">
        <f>'Employee Data'!G36</f>
        <v/>
      </c>
      <c r="C48" s="66">
        <f>'Employee Data'!F36</f>
        <v/>
      </c>
      <c r="D48" s="67">
        <f>'Employee Data'!D36</f>
        <v/>
      </c>
      <c r="E48" s="68">
        <f>'Employee Data'!B36</f>
        <v/>
      </c>
      <c r="F48" s="69">
        <f>IF(E48=5,$B$10,IF(E48=4,$B$9,IF(E48=3,$B$8,IF(E48=2,$B$7,IF(E48=1,$B$6,0)))))</f>
        <v/>
      </c>
      <c r="G48" s="70">
        <f>IF(D48&gt;0,D48*F48,"")</f>
        <v/>
      </c>
      <c r="H48" s="70">
        <f>IF(D48&gt;0,D48+G48,"")</f>
        <v/>
      </c>
      <c r="I48" s="68" t="inlineStr"/>
    </row>
    <row r="49" ht="18" customHeight="1">
      <c r="A49" s="61">
        <f>'Employee Data'!A37</f>
        <v/>
      </c>
      <c r="B49" s="61">
        <f>'Employee Data'!G37</f>
        <v/>
      </c>
      <c r="C49" s="61">
        <f>'Employee Data'!F37</f>
        <v/>
      </c>
      <c r="D49" s="62">
        <f>'Employee Data'!D37</f>
        <v/>
      </c>
      <c r="E49" s="63">
        <f>'Employee Data'!B37</f>
        <v/>
      </c>
      <c r="F49" s="64">
        <f>IF(E49=5,$B$10,IF(E49=4,$B$9,IF(E49=3,$B$8,IF(E49=2,$B$7,IF(E49=1,$B$6,0)))))</f>
        <v/>
      </c>
      <c r="G49" s="65">
        <f>IF(D49&gt;0,D49*F49,"")</f>
        <v/>
      </c>
      <c r="H49" s="65">
        <f>IF(D49&gt;0,D49+G49,"")</f>
        <v/>
      </c>
      <c r="I49" s="63" t="inlineStr"/>
    </row>
    <row r="50" ht="18" customHeight="1">
      <c r="A50" s="66">
        <f>'Employee Data'!A38</f>
        <v/>
      </c>
      <c r="B50" s="66">
        <f>'Employee Data'!G38</f>
        <v/>
      </c>
      <c r="C50" s="66">
        <f>'Employee Data'!F38</f>
        <v/>
      </c>
      <c r="D50" s="67">
        <f>'Employee Data'!D38</f>
        <v/>
      </c>
      <c r="E50" s="68">
        <f>'Employee Data'!B38</f>
        <v/>
      </c>
      <c r="F50" s="69">
        <f>IF(E50=5,$B$10,IF(E50=4,$B$9,IF(E50=3,$B$8,IF(E50=2,$B$7,IF(E50=1,$B$6,0)))))</f>
        <v/>
      </c>
      <c r="G50" s="70">
        <f>IF(D50&gt;0,D50*F50,"")</f>
        <v/>
      </c>
      <c r="H50" s="70">
        <f>IF(D50&gt;0,D50+G50,"")</f>
        <v/>
      </c>
      <c r="I50" s="68" t="inlineStr"/>
    </row>
    <row r="51" ht="18" customHeight="1">
      <c r="A51" s="61">
        <f>'Employee Data'!A39</f>
        <v/>
      </c>
      <c r="B51" s="61">
        <f>'Employee Data'!G39</f>
        <v/>
      </c>
      <c r="C51" s="61">
        <f>'Employee Data'!F39</f>
        <v/>
      </c>
      <c r="D51" s="62">
        <f>'Employee Data'!D39</f>
        <v/>
      </c>
      <c r="E51" s="63">
        <f>'Employee Data'!B39</f>
        <v/>
      </c>
      <c r="F51" s="64">
        <f>IF(E51=5,$B$10,IF(E51=4,$B$9,IF(E51=3,$B$8,IF(E51=2,$B$7,IF(E51=1,$B$6,0)))))</f>
        <v/>
      </c>
      <c r="G51" s="65">
        <f>IF(D51&gt;0,D51*F51,"")</f>
        <v/>
      </c>
      <c r="H51" s="65">
        <f>IF(D51&gt;0,D51+G51,"")</f>
        <v/>
      </c>
      <c r="I51" s="63" t="inlineStr"/>
    </row>
    <row r="52" ht="18" customHeight="1">
      <c r="A52" s="66">
        <f>'Employee Data'!A40</f>
        <v/>
      </c>
      <c r="B52" s="66">
        <f>'Employee Data'!G40</f>
        <v/>
      </c>
      <c r="C52" s="66">
        <f>'Employee Data'!F40</f>
        <v/>
      </c>
      <c r="D52" s="67">
        <f>'Employee Data'!D40</f>
        <v/>
      </c>
      <c r="E52" s="68">
        <f>'Employee Data'!B40</f>
        <v/>
      </c>
      <c r="F52" s="69">
        <f>IF(E52=5,$B$10,IF(E52=4,$B$9,IF(E52=3,$B$8,IF(E52=2,$B$7,IF(E52=1,$B$6,0)))))</f>
        <v/>
      </c>
      <c r="G52" s="70">
        <f>IF(D52&gt;0,D52*F52,"")</f>
        <v/>
      </c>
      <c r="H52" s="70">
        <f>IF(D52&gt;0,D52+G52,"")</f>
        <v/>
      </c>
      <c r="I52" s="68" t="inlineStr"/>
    </row>
    <row r="53" ht="18" customHeight="1">
      <c r="A53" s="61">
        <f>'Employee Data'!A41</f>
        <v/>
      </c>
      <c r="B53" s="61">
        <f>'Employee Data'!G41</f>
        <v/>
      </c>
      <c r="C53" s="61">
        <f>'Employee Data'!F41</f>
        <v/>
      </c>
      <c r="D53" s="62">
        <f>'Employee Data'!D41</f>
        <v/>
      </c>
      <c r="E53" s="63">
        <f>'Employee Data'!B41</f>
        <v/>
      </c>
      <c r="F53" s="64">
        <f>IF(E53=5,$B$10,IF(E53=4,$B$9,IF(E53=3,$B$8,IF(E53=2,$B$7,IF(E53=1,$B$6,0)))))</f>
        <v/>
      </c>
      <c r="G53" s="65">
        <f>IF(D53&gt;0,D53*F53,"")</f>
        <v/>
      </c>
      <c r="H53" s="65">
        <f>IF(D53&gt;0,D53+G53,"")</f>
        <v/>
      </c>
      <c r="I53" s="63" t="inlineStr"/>
    </row>
    <row r="54" ht="18" customHeight="1">
      <c r="A54" s="66">
        <f>'Employee Data'!A42</f>
        <v/>
      </c>
      <c r="B54" s="66">
        <f>'Employee Data'!G42</f>
        <v/>
      </c>
      <c r="C54" s="66">
        <f>'Employee Data'!F42</f>
        <v/>
      </c>
      <c r="D54" s="67">
        <f>'Employee Data'!D42</f>
        <v/>
      </c>
      <c r="E54" s="68">
        <f>'Employee Data'!B42</f>
        <v/>
      </c>
      <c r="F54" s="69">
        <f>IF(E54=5,$B$10,IF(E54=4,$B$9,IF(E54=3,$B$8,IF(E54=2,$B$7,IF(E54=1,$B$6,0)))))</f>
        <v/>
      </c>
      <c r="G54" s="70">
        <f>IF(D54&gt;0,D54*F54,"")</f>
        <v/>
      </c>
      <c r="H54" s="70">
        <f>IF(D54&gt;0,D54+G54,"")</f>
        <v/>
      </c>
      <c r="I54" s="68" t="inlineStr"/>
    </row>
    <row r="55" ht="18" customHeight="1">
      <c r="A55" s="61">
        <f>'Employee Data'!A43</f>
        <v/>
      </c>
      <c r="B55" s="61">
        <f>'Employee Data'!G43</f>
        <v/>
      </c>
      <c r="C55" s="61">
        <f>'Employee Data'!F43</f>
        <v/>
      </c>
      <c r="D55" s="62">
        <f>'Employee Data'!D43</f>
        <v/>
      </c>
      <c r="E55" s="63">
        <f>'Employee Data'!B43</f>
        <v/>
      </c>
      <c r="F55" s="64">
        <f>IF(E55=5,$B$10,IF(E55=4,$B$9,IF(E55=3,$B$8,IF(E55=2,$B$7,IF(E55=1,$B$6,0)))))</f>
        <v/>
      </c>
      <c r="G55" s="65">
        <f>IF(D55&gt;0,D55*F55,"")</f>
        <v/>
      </c>
      <c r="H55" s="65">
        <f>IF(D55&gt;0,D55+G55,"")</f>
        <v/>
      </c>
      <c r="I55" s="63" t="inlineStr"/>
    </row>
    <row r="56" ht="18" customHeight="1">
      <c r="A56" s="66">
        <f>'Employee Data'!A44</f>
        <v/>
      </c>
      <c r="B56" s="66">
        <f>'Employee Data'!G44</f>
        <v/>
      </c>
      <c r="C56" s="66">
        <f>'Employee Data'!F44</f>
        <v/>
      </c>
      <c r="D56" s="67">
        <f>'Employee Data'!D44</f>
        <v/>
      </c>
      <c r="E56" s="68">
        <f>'Employee Data'!B44</f>
        <v/>
      </c>
      <c r="F56" s="69">
        <f>IF(E56=5,$B$10,IF(E56=4,$B$9,IF(E56=3,$B$8,IF(E56=2,$B$7,IF(E56=1,$B$6,0)))))</f>
        <v/>
      </c>
      <c r="G56" s="70">
        <f>IF(D56&gt;0,D56*F56,"")</f>
        <v/>
      </c>
      <c r="H56" s="70">
        <f>IF(D56&gt;0,D56+G56,"")</f>
        <v/>
      </c>
      <c r="I56" s="68" t="inlineStr"/>
    </row>
    <row r="57" ht="18" customHeight="1">
      <c r="A57" s="61">
        <f>'Employee Data'!A45</f>
        <v/>
      </c>
      <c r="B57" s="61">
        <f>'Employee Data'!G45</f>
        <v/>
      </c>
      <c r="C57" s="61">
        <f>'Employee Data'!F45</f>
        <v/>
      </c>
      <c r="D57" s="62">
        <f>'Employee Data'!D45</f>
        <v/>
      </c>
      <c r="E57" s="63">
        <f>'Employee Data'!B45</f>
        <v/>
      </c>
      <c r="F57" s="64">
        <f>IF(E57=5,$B$10,IF(E57=4,$B$9,IF(E57=3,$B$8,IF(E57=2,$B$7,IF(E57=1,$B$6,0)))))</f>
        <v/>
      </c>
      <c r="G57" s="65">
        <f>IF(D57&gt;0,D57*F57,"")</f>
        <v/>
      </c>
      <c r="H57" s="65">
        <f>IF(D57&gt;0,D57+G57,"")</f>
        <v/>
      </c>
      <c r="I57" s="63" t="inlineStr"/>
    </row>
    <row r="58" ht="18" customHeight="1">
      <c r="A58" s="66">
        <f>'Employee Data'!A46</f>
        <v/>
      </c>
      <c r="B58" s="66">
        <f>'Employee Data'!G46</f>
        <v/>
      </c>
      <c r="C58" s="66">
        <f>'Employee Data'!F46</f>
        <v/>
      </c>
      <c r="D58" s="67">
        <f>'Employee Data'!D46</f>
        <v/>
      </c>
      <c r="E58" s="68">
        <f>'Employee Data'!B46</f>
        <v/>
      </c>
      <c r="F58" s="69">
        <f>IF(E58=5,$B$10,IF(E58=4,$B$9,IF(E58=3,$B$8,IF(E58=2,$B$7,IF(E58=1,$B$6,0)))))</f>
        <v/>
      </c>
      <c r="G58" s="70">
        <f>IF(D58&gt;0,D58*F58,"")</f>
        <v/>
      </c>
      <c r="H58" s="70">
        <f>IF(D58&gt;0,D58+G58,"")</f>
        <v/>
      </c>
      <c r="I58" s="68" t="inlineStr"/>
    </row>
    <row r="59" ht="18" customHeight="1">
      <c r="A59" s="61">
        <f>'Employee Data'!A47</f>
        <v/>
      </c>
      <c r="B59" s="61">
        <f>'Employee Data'!G47</f>
        <v/>
      </c>
      <c r="C59" s="61">
        <f>'Employee Data'!F47</f>
        <v/>
      </c>
      <c r="D59" s="62">
        <f>'Employee Data'!D47</f>
        <v/>
      </c>
      <c r="E59" s="63">
        <f>'Employee Data'!B47</f>
        <v/>
      </c>
      <c r="F59" s="64">
        <f>IF(E59=5,$B$10,IF(E59=4,$B$9,IF(E59=3,$B$8,IF(E59=2,$B$7,IF(E59=1,$B$6,0)))))</f>
        <v/>
      </c>
      <c r="G59" s="65">
        <f>IF(D59&gt;0,D59*F59,"")</f>
        <v/>
      </c>
      <c r="H59" s="65">
        <f>IF(D59&gt;0,D59+G59,"")</f>
        <v/>
      </c>
      <c r="I59" s="63" t="inlineStr"/>
    </row>
    <row r="60" ht="18" customHeight="1">
      <c r="A60" s="66">
        <f>'Employee Data'!A48</f>
        <v/>
      </c>
      <c r="B60" s="66">
        <f>'Employee Data'!G48</f>
        <v/>
      </c>
      <c r="C60" s="66">
        <f>'Employee Data'!F48</f>
        <v/>
      </c>
      <c r="D60" s="67">
        <f>'Employee Data'!D48</f>
        <v/>
      </c>
      <c r="E60" s="68">
        <f>'Employee Data'!B48</f>
        <v/>
      </c>
      <c r="F60" s="69">
        <f>IF(E60=5,$B$10,IF(E60=4,$B$9,IF(E60=3,$B$8,IF(E60=2,$B$7,IF(E60=1,$B$6,0)))))</f>
        <v/>
      </c>
      <c r="G60" s="70">
        <f>IF(D60&gt;0,D60*F60,"")</f>
        <v/>
      </c>
      <c r="H60" s="70">
        <f>IF(D60&gt;0,D60+G60,"")</f>
        <v/>
      </c>
      <c r="I60" s="68" t="inlineStr"/>
    </row>
    <row r="61" ht="18" customHeight="1">
      <c r="A61" s="61">
        <f>'Employee Data'!A49</f>
        <v/>
      </c>
      <c r="B61" s="61">
        <f>'Employee Data'!G49</f>
        <v/>
      </c>
      <c r="C61" s="61">
        <f>'Employee Data'!F49</f>
        <v/>
      </c>
      <c r="D61" s="62">
        <f>'Employee Data'!D49</f>
        <v/>
      </c>
      <c r="E61" s="63">
        <f>'Employee Data'!B49</f>
        <v/>
      </c>
      <c r="F61" s="64">
        <f>IF(E61=5,$B$10,IF(E61=4,$B$9,IF(E61=3,$B$8,IF(E61=2,$B$7,IF(E61=1,$B$6,0)))))</f>
        <v/>
      </c>
      <c r="G61" s="65">
        <f>IF(D61&gt;0,D61*F61,"")</f>
        <v/>
      </c>
      <c r="H61" s="65">
        <f>IF(D61&gt;0,D61+G61,"")</f>
        <v/>
      </c>
      <c r="I61" s="63" t="inlineStr"/>
    </row>
    <row r="62" ht="18" customHeight="1">
      <c r="A62" s="66">
        <f>'Employee Data'!A50</f>
        <v/>
      </c>
      <c r="B62" s="66">
        <f>'Employee Data'!G50</f>
        <v/>
      </c>
      <c r="C62" s="66">
        <f>'Employee Data'!F50</f>
        <v/>
      </c>
      <c r="D62" s="67">
        <f>'Employee Data'!D50</f>
        <v/>
      </c>
      <c r="E62" s="68">
        <f>'Employee Data'!B50</f>
        <v/>
      </c>
      <c r="F62" s="69">
        <f>IF(E62=5,$B$10,IF(E62=4,$B$9,IF(E62=3,$B$8,IF(E62=2,$B$7,IF(E62=1,$B$6,0)))))</f>
        <v/>
      </c>
      <c r="G62" s="70">
        <f>IF(D62&gt;0,D62*F62,"")</f>
        <v/>
      </c>
      <c r="H62" s="70">
        <f>IF(D62&gt;0,D62+G62,"")</f>
        <v/>
      </c>
      <c r="I62" s="68" t="inlineStr"/>
    </row>
    <row r="63" ht="18" customHeight="1">
      <c r="A63" s="61">
        <f>'Employee Data'!A51</f>
        <v/>
      </c>
      <c r="B63" s="61">
        <f>'Employee Data'!G51</f>
        <v/>
      </c>
      <c r="C63" s="61">
        <f>'Employee Data'!F51</f>
        <v/>
      </c>
      <c r="D63" s="62">
        <f>'Employee Data'!D51</f>
        <v/>
      </c>
      <c r="E63" s="63">
        <f>'Employee Data'!B51</f>
        <v/>
      </c>
      <c r="F63" s="64">
        <f>IF(E63=5,$B$10,IF(E63=4,$B$9,IF(E63=3,$B$8,IF(E63=2,$B$7,IF(E63=1,$B$6,0)))))</f>
        <v/>
      </c>
      <c r="G63" s="65">
        <f>IF(D63&gt;0,D63*F63,"")</f>
        <v/>
      </c>
      <c r="H63" s="65">
        <f>IF(D63&gt;0,D63+G63,"")</f>
        <v/>
      </c>
      <c r="I63" s="63" t="inlineStr"/>
    </row>
    <row r="64" ht="18" customHeight="1">
      <c r="A64" s="66">
        <f>'Employee Data'!A52</f>
        <v/>
      </c>
      <c r="B64" s="66">
        <f>'Employee Data'!G52</f>
        <v/>
      </c>
      <c r="C64" s="66">
        <f>'Employee Data'!F52</f>
        <v/>
      </c>
      <c r="D64" s="67">
        <f>'Employee Data'!D52</f>
        <v/>
      </c>
      <c r="E64" s="68">
        <f>'Employee Data'!B52</f>
        <v/>
      </c>
      <c r="F64" s="69">
        <f>IF(E64=5,$B$10,IF(E64=4,$B$9,IF(E64=3,$B$8,IF(E64=2,$B$7,IF(E64=1,$B$6,0)))))</f>
        <v/>
      </c>
      <c r="G64" s="70">
        <f>IF(D64&gt;0,D64*F64,"")</f>
        <v/>
      </c>
      <c r="H64" s="70">
        <f>IF(D64&gt;0,D64+G64,"")</f>
        <v/>
      </c>
      <c r="I64" s="68" t="inlineStr"/>
    </row>
    <row r="65" ht="18" customHeight="1">
      <c r="A65" s="61">
        <f>'Employee Data'!A53</f>
        <v/>
      </c>
      <c r="B65" s="61">
        <f>'Employee Data'!G53</f>
        <v/>
      </c>
      <c r="C65" s="61">
        <f>'Employee Data'!F53</f>
        <v/>
      </c>
      <c r="D65" s="62">
        <f>'Employee Data'!D53</f>
        <v/>
      </c>
      <c r="E65" s="63">
        <f>'Employee Data'!B53</f>
        <v/>
      </c>
      <c r="F65" s="64">
        <f>IF(E65=5,$B$10,IF(E65=4,$B$9,IF(E65=3,$B$8,IF(E65=2,$B$7,IF(E65=1,$B$6,0)))))</f>
        <v/>
      </c>
      <c r="G65" s="65">
        <f>IF(D65&gt;0,D65*F65,"")</f>
        <v/>
      </c>
      <c r="H65" s="65">
        <f>IF(D65&gt;0,D65+G65,"")</f>
        <v/>
      </c>
      <c r="I65" s="63" t="inlineStr"/>
    </row>
    <row r="66" ht="18" customHeight="1">
      <c r="A66" s="66">
        <f>'Employee Data'!A54</f>
        <v/>
      </c>
      <c r="B66" s="66">
        <f>'Employee Data'!G54</f>
        <v/>
      </c>
      <c r="C66" s="66">
        <f>'Employee Data'!F54</f>
        <v/>
      </c>
      <c r="D66" s="67">
        <f>'Employee Data'!D54</f>
        <v/>
      </c>
      <c r="E66" s="68">
        <f>'Employee Data'!B54</f>
        <v/>
      </c>
      <c r="F66" s="69">
        <f>IF(E66=5,$B$10,IF(E66=4,$B$9,IF(E66=3,$B$8,IF(E66=2,$B$7,IF(E66=1,$B$6,0)))))</f>
        <v/>
      </c>
      <c r="G66" s="70">
        <f>IF(D66&gt;0,D66*F66,"")</f>
        <v/>
      </c>
      <c r="H66" s="70">
        <f>IF(D66&gt;0,D66+G66,"")</f>
        <v/>
      </c>
      <c r="I66" s="68" t="inlineStr"/>
    </row>
    <row r="67" ht="18" customHeight="1">
      <c r="A67" s="61">
        <f>'Employee Data'!A55</f>
        <v/>
      </c>
      <c r="B67" s="61">
        <f>'Employee Data'!G55</f>
        <v/>
      </c>
      <c r="C67" s="61">
        <f>'Employee Data'!F55</f>
        <v/>
      </c>
      <c r="D67" s="62">
        <f>'Employee Data'!D55</f>
        <v/>
      </c>
      <c r="E67" s="63">
        <f>'Employee Data'!B55</f>
        <v/>
      </c>
      <c r="F67" s="64">
        <f>IF(E67=5,$B$10,IF(E67=4,$B$9,IF(E67=3,$B$8,IF(E67=2,$B$7,IF(E67=1,$B$6,0)))))</f>
        <v/>
      </c>
      <c r="G67" s="65">
        <f>IF(D67&gt;0,D67*F67,"")</f>
        <v/>
      </c>
      <c r="H67" s="65">
        <f>IF(D67&gt;0,D67+G67,"")</f>
        <v/>
      </c>
      <c r="I67" s="63" t="inlineStr"/>
    </row>
    <row r="68" ht="18" customHeight="1">
      <c r="A68" s="66">
        <f>'Employee Data'!A56</f>
        <v/>
      </c>
      <c r="B68" s="66">
        <f>'Employee Data'!G56</f>
        <v/>
      </c>
      <c r="C68" s="66">
        <f>'Employee Data'!F56</f>
        <v/>
      </c>
      <c r="D68" s="67">
        <f>'Employee Data'!D56</f>
        <v/>
      </c>
      <c r="E68" s="68">
        <f>'Employee Data'!B56</f>
        <v/>
      </c>
      <c r="F68" s="69">
        <f>IF(E68=5,$B$10,IF(E68=4,$B$9,IF(E68=3,$B$8,IF(E68=2,$B$7,IF(E68=1,$B$6,0)))))</f>
        <v/>
      </c>
      <c r="G68" s="70">
        <f>IF(D68&gt;0,D68*F68,"")</f>
        <v/>
      </c>
      <c r="H68" s="70">
        <f>IF(D68&gt;0,D68+G68,"")</f>
        <v/>
      </c>
      <c r="I68" s="68" t="inlineStr"/>
    </row>
    <row r="69" ht="18" customHeight="1">
      <c r="A69" s="61">
        <f>'Employee Data'!A57</f>
        <v/>
      </c>
      <c r="B69" s="61">
        <f>'Employee Data'!G57</f>
        <v/>
      </c>
      <c r="C69" s="61">
        <f>'Employee Data'!F57</f>
        <v/>
      </c>
      <c r="D69" s="62">
        <f>'Employee Data'!D57</f>
        <v/>
      </c>
      <c r="E69" s="63">
        <f>'Employee Data'!B57</f>
        <v/>
      </c>
      <c r="F69" s="64">
        <f>IF(E69=5,$B$10,IF(E69=4,$B$9,IF(E69=3,$B$8,IF(E69=2,$B$7,IF(E69=1,$B$6,0)))))</f>
        <v/>
      </c>
      <c r="G69" s="65">
        <f>IF(D69&gt;0,D69*F69,"")</f>
        <v/>
      </c>
      <c r="H69" s="65">
        <f>IF(D69&gt;0,D69+G69,"")</f>
        <v/>
      </c>
      <c r="I69" s="63" t="inlineStr"/>
    </row>
    <row r="70" ht="18" customHeight="1">
      <c r="A70" s="66">
        <f>'Employee Data'!A58</f>
        <v/>
      </c>
      <c r="B70" s="66">
        <f>'Employee Data'!G58</f>
        <v/>
      </c>
      <c r="C70" s="66">
        <f>'Employee Data'!F58</f>
        <v/>
      </c>
      <c r="D70" s="67">
        <f>'Employee Data'!D58</f>
        <v/>
      </c>
      <c r="E70" s="68">
        <f>'Employee Data'!B58</f>
        <v/>
      </c>
      <c r="F70" s="69">
        <f>IF(E70=5,$B$10,IF(E70=4,$B$9,IF(E70=3,$B$8,IF(E70=2,$B$7,IF(E70=1,$B$6,0)))))</f>
        <v/>
      </c>
      <c r="G70" s="70">
        <f>IF(D70&gt;0,D70*F70,"")</f>
        <v/>
      </c>
      <c r="H70" s="70">
        <f>IF(D70&gt;0,D70+G70,"")</f>
        <v/>
      </c>
      <c r="I70" s="68" t="inlineStr"/>
    </row>
    <row r="71" ht="18" customHeight="1">
      <c r="A71" s="61">
        <f>'Employee Data'!A59</f>
        <v/>
      </c>
      <c r="B71" s="61">
        <f>'Employee Data'!G59</f>
        <v/>
      </c>
      <c r="C71" s="61">
        <f>'Employee Data'!F59</f>
        <v/>
      </c>
      <c r="D71" s="62">
        <f>'Employee Data'!D59</f>
        <v/>
      </c>
      <c r="E71" s="63">
        <f>'Employee Data'!B59</f>
        <v/>
      </c>
      <c r="F71" s="64">
        <f>IF(E71=5,$B$10,IF(E71=4,$B$9,IF(E71=3,$B$8,IF(E71=2,$B$7,IF(E71=1,$B$6,0)))))</f>
        <v/>
      </c>
      <c r="G71" s="65">
        <f>IF(D71&gt;0,D71*F71,"")</f>
        <v/>
      </c>
      <c r="H71" s="65">
        <f>IF(D71&gt;0,D71+G71,"")</f>
        <v/>
      </c>
      <c r="I71" s="63" t="inlineStr"/>
    </row>
    <row r="72" ht="18" customHeight="1">
      <c r="A72" s="66">
        <f>'Employee Data'!A60</f>
        <v/>
      </c>
      <c r="B72" s="66">
        <f>'Employee Data'!G60</f>
        <v/>
      </c>
      <c r="C72" s="66">
        <f>'Employee Data'!F60</f>
        <v/>
      </c>
      <c r="D72" s="67">
        <f>'Employee Data'!D60</f>
        <v/>
      </c>
      <c r="E72" s="68">
        <f>'Employee Data'!B60</f>
        <v/>
      </c>
      <c r="F72" s="69">
        <f>IF(E72=5,$B$10,IF(E72=4,$B$9,IF(E72=3,$B$8,IF(E72=2,$B$7,IF(E72=1,$B$6,0)))))</f>
        <v/>
      </c>
      <c r="G72" s="70">
        <f>IF(D72&gt;0,D72*F72,"")</f>
        <v/>
      </c>
      <c r="H72" s="70">
        <f>IF(D72&gt;0,D72+G72,"")</f>
        <v/>
      </c>
      <c r="I72" s="68" t="inlineStr"/>
    </row>
    <row r="73" ht="18" customHeight="1">
      <c r="A73" s="61">
        <f>'Employee Data'!A61</f>
        <v/>
      </c>
      <c r="B73" s="61">
        <f>'Employee Data'!G61</f>
        <v/>
      </c>
      <c r="C73" s="61">
        <f>'Employee Data'!F61</f>
        <v/>
      </c>
      <c r="D73" s="62">
        <f>'Employee Data'!D61</f>
        <v/>
      </c>
      <c r="E73" s="63">
        <f>'Employee Data'!B61</f>
        <v/>
      </c>
      <c r="F73" s="64">
        <f>IF(E73=5,$B$10,IF(E73=4,$B$9,IF(E73=3,$B$8,IF(E73=2,$B$7,IF(E73=1,$B$6,0)))))</f>
        <v/>
      </c>
      <c r="G73" s="65">
        <f>IF(D73&gt;0,D73*F73,"")</f>
        <v/>
      </c>
      <c r="H73" s="65">
        <f>IF(D73&gt;0,D73+G73,"")</f>
        <v/>
      </c>
      <c r="I73" s="63" t="inlineStr"/>
    </row>
    <row r="74" ht="18" customHeight="1">
      <c r="A74" s="66">
        <f>'Employee Data'!A62</f>
        <v/>
      </c>
      <c r="B74" s="66">
        <f>'Employee Data'!G62</f>
        <v/>
      </c>
      <c r="C74" s="66">
        <f>'Employee Data'!F62</f>
        <v/>
      </c>
      <c r="D74" s="67">
        <f>'Employee Data'!D62</f>
        <v/>
      </c>
      <c r="E74" s="68">
        <f>'Employee Data'!B62</f>
        <v/>
      </c>
      <c r="F74" s="69">
        <f>IF(E74=5,$B$10,IF(E74=4,$B$9,IF(E74=3,$B$8,IF(E74=2,$B$7,IF(E74=1,$B$6,0)))))</f>
        <v/>
      </c>
      <c r="G74" s="70">
        <f>IF(D74&gt;0,D74*F74,"")</f>
        <v/>
      </c>
      <c r="H74" s="70">
        <f>IF(D74&gt;0,D74+G74,"")</f>
        <v/>
      </c>
      <c r="I74" s="68" t="inlineStr"/>
    </row>
    <row r="75" ht="18" customHeight="1">
      <c r="A75" s="61">
        <f>'Employee Data'!A63</f>
        <v/>
      </c>
      <c r="B75" s="61">
        <f>'Employee Data'!G63</f>
        <v/>
      </c>
      <c r="C75" s="61">
        <f>'Employee Data'!F63</f>
        <v/>
      </c>
      <c r="D75" s="62">
        <f>'Employee Data'!D63</f>
        <v/>
      </c>
      <c r="E75" s="63">
        <f>'Employee Data'!B63</f>
        <v/>
      </c>
      <c r="F75" s="64">
        <f>IF(E75=5,$B$10,IF(E75=4,$B$9,IF(E75=3,$B$8,IF(E75=2,$B$7,IF(E75=1,$B$6,0)))))</f>
        <v/>
      </c>
      <c r="G75" s="65">
        <f>IF(D75&gt;0,D75*F75,"")</f>
        <v/>
      </c>
      <c r="H75" s="65">
        <f>IF(D75&gt;0,D75+G75,"")</f>
        <v/>
      </c>
      <c r="I75" s="63" t="inlineStr"/>
    </row>
    <row r="76" ht="18" customHeight="1">
      <c r="A76" s="66">
        <f>'Employee Data'!A64</f>
        <v/>
      </c>
      <c r="B76" s="66">
        <f>'Employee Data'!G64</f>
        <v/>
      </c>
      <c r="C76" s="66">
        <f>'Employee Data'!F64</f>
        <v/>
      </c>
      <c r="D76" s="67">
        <f>'Employee Data'!D64</f>
        <v/>
      </c>
      <c r="E76" s="68">
        <f>'Employee Data'!B64</f>
        <v/>
      </c>
      <c r="F76" s="69">
        <f>IF(E76=5,$B$10,IF(E76=4,$B$9,IF(E76=3,$B$8,IF(E76=2,$B$7,IF(E76=1,$B$6,0)))))</f>
        <v/>
      </c>
      <c r="G76" s="70">
        <f>IF(D76&gt;0,D76*F76,"")</f>
        <v/>
      </c>
      <c r="H76" s="70">
        <f>IF(D76&gt;0,D76+G76,"")</f>
        <v/>
      </c>
      <c r="I76" s="68" t="inlineStr"/>
    </row>
    <row r="77" ht="18" customHeight="1">
      <c r="A77" s="61">
        <f>'Employee Data'!A65</f>
        <v/>
      </c>
      <c r="B77" s="61">
        <f>'Employee Data'!G65</f>
        <v/>
      </c>
      <c r="C77" s="61">
        <f>'Employee Data'!F65</f>
        <v/>
      </c>
      <c r="D77" s="62">
        <f>'Employee Data'!D65</f>
        <v/>
      </c>
      <c r="E77" s="63">
        <f>'Employee Data'!B65</f>
        <v/>
      </c>
      <c r="F77" s="64">
        <f>IF(E77=5,$B$10,IF(E77=4,$B$9,IF(E77=3,$B$8,IF(E77=2,$B$7,IF(E77=1,$B$6,0)))))</f>
        <v/>
      </c>
      <c r="G77" s="65">
        <f>IF(D77&gt;0,D77*F77,"")</f>
        <v/>
      </c>
      <c r="H77" s="65">
        <f>IF(D77&gt;0,D77+G77,"")</f>
        <v/>
      </c>
      <c r="I77" s="63" t="inlineStr"/>
    </row>
    <row r="78" ht="18" customHeight="1">
      <c r="A78" s="66">
        <f>'Employee Data'!A66</f>
        <v/>
      </c>
      <c r="B78" s="66">
        <f>'Employee Data'!G66</f>
        <v/>
      </c>
      <c r="C78" s="66">
        <f>'Employee Data'!F66</f>
        <v/>
      </c>
      <c r="D78" s="67">
        <f>'Employee Data'!D66</f>
        <v/>
      </c>
      <c r="E78" s="68">
        <f>'Employee Data'!B66</f>
        <v/>
      </c>
      <c r="F78" s="69">
        <f>IF(E78=5,$B$10,IF(E78=4,$B$9,IF(E78=3,$B$8,IF(E78=2,$B$7,IF(E78=1,$B$6,0)))))</f>
        <v/>
      </c>
      <c r="G78" s="70">
        <f>IF(D78&gt;0,D78*F78,"")</f>
        <v/>
      </c>
      <c r="H78" s="70">
        <f>IF(D78&gt;0,D78+G78,"")</f>
        <v/>
      </c>
      <c r="I78" s="68" t="inlineStr"/>
    </row>
    <row r="79" ht="18" customHeight="1">
      <c r="A79" s="61">
        <f>'Employee Data'!A67</f>
        <v/>
      </c>
      <c r="B79" s="61">
        <f>'Employee Data'!G67</f>
        <v/>
      </c>
      <c r="C79" s="61">
        <f>'Employee Data'!F67</f>
        <v/>
      </c>
      <c r="D79" s="62">
        <f>'Employee Data'!D67</f>
        <v/>
      </c>
      <c r="E79" s="63">
        <f>'Employee Data'!B67</f>
        <v/>
      </c>
      <c r="F79" s="64">
        <f>IF(E79=5,$B$10,IF(E79=4,$B$9,IF(E79=3,$B$8,IF(E79=2,$B$7,IF(E79=1,$B$6,0)))))</f>
        <v/>
      </c>
      <c r="G79" s="65">
        <f>IF(D79&gt;0,D79*F79,"")</f>
        <v/>
      </c>
      <c r="H79" s="65">
        <f>IF(D79&gt;0,D79+G79,"")</f>
        <v/>
      </c>
      <c r="I79" s="63" t="inlineStr"/>
    </row>
    <row r="80" ht="18" customHeight="1">
      <c r="A80" s="66">
        <f>'Employee Data'!A68</f>
        <v/>
      </c>
      <c r="B80" s="66">
        <f>'Employee Data'!G68</f>
        <v/>
      </c>
      <c r="C80" s="66">
        <f>'Employee Data'!F68</f>
        <v/>
      </c>
      <c r="D80" s="67">
        <f>'Employee Data'!D68</f>
        <v/>
      </c>
      <c r="E80" s="68">
        <f>'Employee Data'!B68</f>
        <v/>
      </c>
      <c r="F80" s="69">
        <f>IF(E80=5,$B$10,IF(E80=4,$B$9,IF(E80=3,$B$8,IF(E80=2,$B$7,IF(E80=1,$B$6,0)))))</f>
        <v/>
      </c>
      <c r="G80" s="70">
        <f>IF(D80&gt;0,D80*F80,"")</f>
        <v/>
      </c>
      <c r="H80" s="70">
        <f>IF(D80&gt;0,D80+G80,"")</f>
        <v/>
      </c>
      <c r="I80" s="68" t="inlineStr"/>
    </row>
    <row r="81" ht="18" customHeight="1">
      <c r="A81" s="61">
        <f>'Employee Data'!A69</f>
        <v/>
      </c>
      <c r="B81" s="61">
        <f>'Employee Data'!G69</f>
        <v/>
      </c>
      <c r="C81" s="61">
        <f>'Employee Data'!F69</f>
        <v/>
      </c>
      <c r="D81" s="62">
        <f>'Employee Data'!D69</f>
        <v/>
      </c>
      <c r="E81" s="63">
        <f>'Employee Data'!B69</f>
        <v/>
      </c>
      <c r="F81" s="64">
        <f>IF(E81=5,$B$10,IF(E81=4,$B$9,IF(E81=3,$B$8,IF(E81=2,$B$7,IF(E81=1,$B$6,0)))))</f>
        <v/>
      </c>
      <c r="G81" s="65">
        <f>IF(D81&gt;0,D81*F81,"")</f>
        <v/>
      </c>
      <c r="H81" s="65">
        <f>IF(D81&gt;0,D81+G81,"")</f>
        <v/>
      </c>
      <c r="I81" s="63" t="inlineStr"/>
    </row>
    <row r="82" ht="18" customHeight="1">
      <c r="A82" s="66">
        <f>'Employee Data'!A70</f>
        <v/>
      </c>
      <c r="B82" s="66">
        <f>'Employee Data'!G70</f>
        <v/>
      </c>
      <c r="C82" s="66">
        <f>'Employee Data'!F70</f>
        <v/>
      </c>
      <c r="D82" s="67">
        <f>'Employee Data'!D70</f>
        <v/>
      </c>
      <c r="E82" s="68">
        <f>'Employee Data'!B70</f>
        <v/>
      </c>
      <c r="F82" s="69">
        <f>IF(E82=5,$B$10,IF(E82=4,$B$9,IF(E82=3,$B$8,IF(E82=2,$B$7,IF(E82=1,$B$6,0)))))</f>
        <v/>
      </c>
      <c r="G82" s="70">
        <f>IF(D82&gt;0,D82*F82,"")</f>
        <v/>
      </c>
      <c r="H82" s="70">
        <f>IF(D82&gt;0,D82+G82,"")</f>
        <v/>
      </c>
      <c r="I82" s="68" t="inlineStr"/>
    </row>
    <row r="83" ht="18" customHeight="1">
      <c r="A83" s="61">
        <f>'Employee Data'!A71</f>
        <v/>
      </c>
      <c r="B83" s="61">
        <f>'Employee Data'!G71</f>
        <v/>
      </c>
      <c r="C83" s="61">
        <f>'Employee Data'!F71</f>
        <v/>
      </c>
      <c r="D83" s="62">
        <f>'Employee Data'!D71</f>
        <v/>
      </c>
      <c r="E83" s="63">
        <f>'Employee Data'!B71</f>
        <v/>
      </c>
      <c r="F83" s="64">
        <f>IF(E83=5,$B$10,IF(E83=4,$B$9,IF(E83=3,$B$8,IF(E83=2,$B$7,IF(E83=1,$B$6,0)))))</f>
        <v/>
      </c>
      <c r="G83" s="65">
        <f>IF(D83&gt;0,D83*F83,"")</f>
        <v/>
      </c>
      <c r="H83" s="65">
        <f>IF(D83&gt;0,D83+G83,"")</f>
        <v/>
      </c>
      <c r="I83" s="63" t="inlineStr"/>
    </row>
    <row r="84" ht="18" customHeight="1">
      <c r="A84" s="66">
        <f>'Employee Data'!A72</f>
        <v/>
      </c>
      <c r="B84" s="66">
        <f>'Employee Data'!G72</f>
        <v/>
      </c>
      <c r="C84" s="66">
        <f>'Employee Data'!F72</f>
        <v/>
      </c>
      <c r="D84" s="67">
        <f>'Employee Data'!D72</f>
        <v/>
      </c>
      <c r="E84" s="68">
        <f>'Employee Data'!B72</f>
        <v/>
      </c>
      <c r="F84" s="69">
        <f>IF(E84=5,$B$10,IF(E84=4,$B$9,IF(E84=3,$B$8,IF(E84=2,$B$7,IF(E84=1,$B$6,0)))))</f>
        <v/>
      </c>
      <c r="G84" s="70">
        <f>IF(D84&gt;0,D84*F84,"")</f>
        <v/>
      </c>
      <c r="H84" s="70">
        <f>IF(D84&gt;0,D84+G84,"")</f>
        <v/>
      </c>
      <c r="I84" s="68" t="inlineStr"/>
    </row>
    <row r="85" ht="18" customHeight="1">
      <c r="A85" s="61">
        <f>'Employee Data'!A73</f>
        <v/>
      </c>
      <c r="B85" s="61">
        <f>'Employee Data'!G73</f>
        <v/>
      </c>
      <c r="C85" s="61">
        <f>'Employee Data'!F73</f>
        <v/>
      </c>
      <c r="D85" s="62">
        <f>'Employee Data'!D73</f>
        <v/>
      </c>
      <c r="E85" s="63">
        <f>'Employee Data'!B73</f>
        <v/>
      </c>
      <c r="F85" s="64">
        <f>IF(E85=5,$B$10,IF(E85=4,$B$9,IF(E85=3,$B$8,IF(E85=2,$B$7,IF(E85=1,$B$6,0)))))</f>
        <v/>
      </c>
      <c r="G85" s="65">
        <f>IF(D85&gt;0,D85*F85,"")</f>
        <v/>
      </c>
      <c r="H85" s="65">
        <f>IF(D85&gt;0,D85+G85,"")</f>
        <v/>
      </c>
      <c r="I85" s="63" t="inlineStr"/>
    </row>
    <row r="86" ht="18" customHeight="1">
      <c r="A86" s="66">
        <f>'Employee Data'!A74</f>
        <v/>
      </c>
      <c r="B86" s="66">
        <f>'Employee Data'!G74</f>
        <v/>
      </c>
      <c r="C86" s="66">
        <f>'Employee Data'!F74</f>
        <v/>
      </c>
      <c r="D86" s="67">
        <f>'Employee Data'!D74</f>
        <v/>
      </c>
      <c r="E86" s="68">
        <f>'Employee Data'!B74</f>
        <v/>
      </c>
      <c r="F86" s="69">
        <f>IF(E86=5,$B$10,IF(E86=4,$B$9,IF(E86=3,$B$8,IF(E86=2,$B$7,IF(E86=1,$B$6,0)))))</f>
        <v/>
      </c>
      <c r="G86" s="70">
        <f>IF(D86&gt;0,D86*F86,"")</f>
        <v/>
      </c>
      <c r="H86" s="70">
        <f>IF(D86&gt;0,D86+G86,"")</f>
        <v/>
      </c>
      <c r="I86" s="68" t="inlineStr"/>
    </row>
    <row r="87" ht="18" customHeight="1">
      <c r="A87" s="61">
        <f>'Employee Data'!A75</f>
        <v/>
      </c>
      <c r="B87" s="61">
        <f>'Employee Data'!G75</f>
        <v/>
      </c>
      <c r="C87" s="61">
        <f>'Employee Data'!F75</f>
        <v/>
      </c>
      <c r="D87" s="62">
        <f>'Employee Data'!D75</f>
        <v/>
      </c>
      <c r="E87" s="63">
        <f>'Employee Data'!B75</f>
        <v/>
      </c>
      <c r="F87" s="64">
        <f>IF(E87=5,$B$10,IF(E87=4,$B$9,IF(E87=3,$B$8,IF(E87=2,$B$7,IF(E87=1,$B$6,0)))))</f>
        <v/>
      </c>
      <c r="G87" s="65">
        <f>IF(D87&gt;0,D87*F87,"")</f>
        <v/>
      </c>
      <c r="H87" s="65">
        <f>IF(D87&gt;0,D87+G87,"")</f>
        <v/>
      </c>
      <c r="I87" s="63" t="inlineStr"/>
    </row>
    <row r="88" ht="18" customHeight="1">
      <c r="A88" s="66">
        <f>'Employee Data'!A76</f>
        <v/>
      </c>
      <c r="B88" s="66">
        <f>'Employee Data'!G76</f>
        <v/>
      </c>
      <c r="C88" s="66">
        <f>'Employee Data'!F76</f>
        <v/>
      </c>
      <c r="D88" s="67">
        <f>'Employee Data'!D76</f>
        <v/>
      </c>
      <c r="E88" s="68">
        <f>'Employee Data'!B76</f>
        <v/>
      </c>
      <c r="F88" s="69">
        <f>IF(E88=5,$B$10,IF(E88=4,$B$9,IF(E88=3,$B$8,IF(E88=2,$B$7,IF(E88=1,$B$6,0)))))</f>
        <v/>
      </c>
      <c r="G88" s="70">
        <f>IF(D88&gt;0,D88*F88,"")</f>
        <v/>
      </c>
      <c r="H88" s="70">
        <f>IF(D88&gt;0,D88+G88,"")</f>
        <v/>
      </c>
      <c r="I88" s="68" t="inlineStr"/>
    </row>
    <row r="89" ht="18" customHeight="1">
      <c r="A89" s="61">
        <f>'Employee Data'!A77</f>
        <v/>
      </c>
      <c r="B89" s="61">
        <f>'Employee Data'!G77</f>
        <v/>
      </c>
      <c r="C89" s="61">
        <f>'Employee Data'!F77</f>
        <v/>
      </c>
      <c r="D89" s="62">
        <f>'Employee Data'!D77</f>
        <v/>
      </c>
      <c r="E89" s="63">
        <f>'Employee Data'!B77</f>
        <v/>
      </c>
      <c r="F89" s="64">
        <f>IF(E89=5,$B$10,IF(E89=4,$B$9,IF(E89=3,$B$8,IF(E89=2,$B$7,IF(E89=1,$B$6,0)))))</f>
        <v/>
      </c>
      <c r="G89" s="65">
        <f>IF(D89&gt;0,D89*F89,"")</f>
        <v/>
      </c>
      <c r="H89" s="65">
        <f>IF(D89&gt;0,D89+G89,"")</f>
        <v/>
      </c>
      <c r="I89" s="63" t="inlineStr"/>
    </row>
    <row r="90" ht="18" customHeight="1">
      <c r="A90" s="66">
        <f>'Employee Data'!A78</f>
        <v/>
      </c>
      <c r="B90" s="66">
        <f>'Employee Data'!G78</f>
        <v/>
      </c>
      <c r="C90" s="66">
        <f>'Employee Data'!F78</f>
        <v/>
      </c>
      <c r="D90" s="67">
        <f>'Employee Data'!D78</f>
        <v/>
      </c>
      <c r="E90" s="68">
        <f>'Employee Data'!B78</f>
        <v/>
      </c>
      <c r="F90" s="69">
        <f>IF(E90=5,$B$10,IF(E90=4,$B$9,IF(E90=3,$B$8,IF(E90=2,$B$7,IF(E90=1,$B$6,0)))))</f>
        <v/>
      </c>
      <c r="G90" s="70">
        <f>IF(D90&gt;0,D90*F90,"")</f>
        <v/>
      </c>
      <c r="H90" s="70">
        <f>IF(D90&gt;0,D90+G90,"")</f>
        <v/>
      </c>
      <c r="I90" s="68" t="inlineStr"/>
    </row>
    <row r="91" ht="18" customHeight="1">
      <c r="A91" s="61">
        <f>'Employee Data'!A79</f>
        <v/>
      </c>
      <c r="B91" s="61">
        <f>'Employee Data'!G79</f>
        <v/>
      </c>
      <c r="C91" s="61">
        <f>'Employee Data'!F79</f>
        <v/>
      </c>
      <c r="D91" s="62">
        <f>'Employee Data'!D79</f>
        <v/>
      </c>
      <c r="E91" s="63">
        <f>'Employee Data'!B79</f>
        <v/>
      </c>
      <c r="F91" s="64">
        <f>IF(E91=5,$B$10,IF(E91=4,$B$9,IF(E91=3,$B$8,IF(E91=2,$B$7,IF(E91=1,$B$6,0)))))</f>
        <v/>
      </c>
      <c r="G91" s="65">
        <f>IF(D91&gt;0,D91*F91,"")</f>
        <v/>
      </c>
      <c r="H91" s="65">
        <f>IF(D91&gt;0,D91+G91,"")</f>
        <v/>
      </c>
      <c r="I91" s="63" t="inlineStr"/>
    </row>
    <row r="92" ht="18" customHeight="1">
      <c r="A92" s="66">
        <f>'Employee Data'!A80</f>
        <v/>
      </c>
      <c r="B92" s="66">
        <f>'Employee Data'!G80</f>
        <v/>
      </c>
      <c r="C92" s="66">
        <f>'Employee Data'!F80</f>
        <v/>
      </c>
      <c r="D92" s="67">
        <f>'Employee Data'!D80</f>
        <v/>
      </c>
      <c r="E92" s="68">
        <f>'Employee Data'!B80</f>
        <v/>
      </c>
      <c r="F92" s="69">
        <f>IF(E92=5,$B$10,IF(E92=4,$B$9,IF(E92=3,$B$8,IF(E92=2,$B$7,IF(E92=1,$B$6,0)))))</f>
        <v/>
      </c>
      <c r="G92" s="70">
        <f>IF(D92&gt;0,D92*F92,"")</f>
        <v/>
      </c>
      <c r="H92" s="70">
        <f>IF(D92&gt;0,D92+G92,"")</f>
        <v/>
      </c>
      <c r="I92" s="68" t="inlineStr"/>
    </row>
    <row r="93" ht="18" customHeight="1">
      <c r="A93" s="61">
        <f>'Employee Data'!A81</f>
        <v/>
      </c>
      <c r="B93" s="61">
        <f>'Employee Data'!G81</f>
        <v/>
      </c>
      <c r="C93" s="61">
        <f>'Employee Data'!F81</f>
        <v/>
      </c>
      <c r="D93" s="62">
        <f>'Employee Data'!D81</f>
        <v/>
      </c>
      <c r="E93" s="63">
        <f>'Employee Data'!B81</f>
        <v/>
      </c>
      <c r="F93" s="64">
        <f>IF(E93=5,$B$10,IF(E93=4,$B$9,IF(E93=3,$B$8,IF(E93=2,$B$7,IF(E93=1,$B$6,0)))))</f>
        <v/>
      </c>
      <c r="G93" s="65">
        <f>IF(D93&gt;0,D93*F93,"")</f>
        <v/>
      </c>
      <c r="H93" s="65">
        <f>IF(D93&gt;0,D93+G93,"")</f>
        <v/>
      </c>
      <c r="I93" s="63" t="inlineStr"/>
    </row>
    <row r="94" ht="18" customHeight="1">
      <c r="A94" s="66">
        <f>'Employee Data'!A82</f>
        <v/>
      </c>
      <c r="B94" s="66">
        <f>'Employee Data'!G82</f>
        <v/>
      </c>
      <c r="C94" s="66">
        <f>'Employee Data'!F82</f>
        <v/>
      </c>
      <c r="D94" s="67">
        <f>'Employee Data'!D82</f>
        <v/>
      </c>
      <c r="E94" s="68">
        <f>'Employee Data'!B82</f>
        <v/>
      </c>
      <c r="F94" s="69">
        <f>IF(E94=5,$B$10,IF(E94=4,$B$9,IF(E94=3,$B$8,IF(E94=2,$B$7,IF(E94=1,$B$6,0)))))</f>
        <v/>
      </c>
      <c r="G94" s="70">
        <f>IF(D94&gt;0,D94*F94,"")</f>
        <v/>
      </c>
      <c r="H94" s="70">
        <f>IF(D94&gt;0,D94+G94,"")</f>
        <v/>
      </c>
      <c r="I94" s="68" t="inlineStr"/>
    </row>
    <row r="95" ht="18" customHeight="1">
      <c r="A95" s="61">
        <f>'Employee Data'!A83</f>
        <v/>
      </c>
      <c r="B95" s="61">
        <f>'Employee Data'!G83</f>
        <v/>
      </c>
      <c r="C95" s="61">
        <f>'Employee Data'!F83</f>
        <v/>
      </c>
      <c r="D95" s="62">
        <f>'Employee Data'!D83</f>
        <v/>
      </c>
      <c r="E95" s="63">
        <f>'Employee Data'!B83</f>
        <v/>
      </c>
      <c r="F95" s="64">
        <f>IF(E95=5,$B$10,IF(E95=4,$B$9,IF(E95=3,$B$8,IF(E95=2,$B$7,IF(E95=1,$B$6,0)))))</f>
        <v/>
      </c>
      <c r="G95" s="65">
        <f>IF(D95&gt;0,D95*F95,"")</f>
        <v/>
      </c>
      <c r="H95" s="65">
        <f>IF(D95&gt;0,D95+G95,"")</f>
        <v/>
      </c>
      <c r="I95" s="63" t="inlineStr"/>
    </row>
    <row r="96" ht="18" customHeight="1">
      <c r="A96" s="66">
        <f>'Employee Data'!A84</f>
        <v/>
      </c>
      <c r="B96" s="66">
        <f>'Employee Data'!G84</f>
        <v/>
      </c>
      <c r="C96" s="66">
        <f>'Employee Data'!F84</f>
        <v/>
      </c>
      <c r="D96" s="67">
        <f>'Employee Data'!D84</f>
        <v/>
      </c>
      <c r="E96" s="68">
        <f>'Employee Data'!B84</f>
        <v/>
      </c>
      <c r="F96" s="69">
        <f>IF(E96=5,$B$10,IF(E96=4,$B$9,IF(E96=3,$B$8,IF(E96=2,$B$7,IF(E96=1,$B$6,0)))))</f>
        <v/>
      </c>
      <c r="G96" s="70">
        <f>IF(D96&gt;0,D96*F96,"")</f>
        <v/>
      </c>
      <c r="H96" s="70">
        <f>IF(D96&gt;0,D96+G96,"")</f>
        <v/>
      </c>
      <c r="I96" s="68" t="inlineStr"/>
    </row>
    <row r="97" ht="18" customHeight="1">
      <c r="A97" s="61">
        <f>'Employee Data'!A85</f>
        <v/>
      </c>
      <c r="B97" s="61">
        <f>'Employee Data'!G85</f>
        <v/>
      </c>
      <c r="C97" s="61">
        <f>'Employee Data'!F85</f>
        <v/>
      </c>
      <c r="D97" s="62">
        <f>'Employee Data'!D85</f>
        <v/>
      </c>
      <c r="E97" s="63">
        <f>'Employee Data'!B85</f>
        <v/>
      </c>
      <c r="F97" s="64">
        <f>IF(E97=5,$B$10,IF(E97=4,$B$9,IF(E97=3,$B$8,IF(E97=2,$B$7,IF(E97=1,$B$6,0)))))</f>
        <v/>
      </c>
      <c r="G97" s="65">
        <f>IF(D97&gt;0,D97*F97,"")</f>
        <v/>
      </c>
      <c r="H97" s="65">
        <f>IF(D97&gt;0,D97+G97,"")</f>
        <v/>
      </c>
      <c r="I97" s="63" t="inlineStr"/>
    </row>
    <row r="98" ht="18" customHeight="1">
      <c r="A98" s="66">
        <f>'Employee Data'!A86</f>
        <v/>
      </c>
      <c r="B98" s="66">
        <f>'Employee Data'!G86</f>
        <v/>
      </c>
      <c r="C98" s="66">
        <f>'Employee Data'!F86</f>
        <v/>
      </c>
      <c r="D98" s="67">
        <f>'Employee Data'!D86</f>
        <v/>
      </c>
      <c r="E98" s="68">
        <f>'Employee Data'!B86</f>
        <v/>
      </c>
      <c r="F98" s="69">
        <f>IF(E98=5,$B$10,IF(E98=4,$B$9,IF(E98=3,$B$8,IF(E98=2,$B$7,IF(E98=1,$B$6,0)))))</f>
        <v/>
      </c>
      <c r="G98" s="70">
        <f>IF(D98&gt;0,D98*F98,"")</f>
        <v/>
      </c>
      <c r="H98" s="70">
        <f>IF(D98&gt;0,D98+G98,"")</f>
        <v/>
      </c>
      <c r="I98" s="68" t="inlineStr"/>
    </row>
    <row r="99" ht="18" customHeight="1">
      <c r="A99" s="61">
        <f>'Employee Data'!A87</f>
        <v/>
      </c>
      <c r="B99" s="61">
        <f>'Employee Data'!G87</f>
        <v/>
      </c>
      <c r="C99" s="61">
        <f>'Employee Data'!F87</f>
        <v/>
      </c>
      <c r="D99" s="62">
        <f>'Employee Data'!D87</f>
        <v/>
      </c>
      <c r="E99" s="63">
        <f>'Employee Data'!B87</f>
        <v/>
      </c>
      <c r="F99" s="64">
        <f>IF(E99=5,$B$10,IF(E99=4,$B$9,IF(E99=3,$B$8,IF(E99=2,$B$7,IF(E99=1,$B$6,0)))))</f>
        <v/>
      </c>
      <c r="G99" s="65">
        <f>IF(D99&gt;0,D99*F99,"")</f>
        <v/>
      </c>
      <c r="H99" s="65">
        <f>IF(D99&gt;0,D99+G99,"")</f>
        <v/>
      </c>
      <c r="I99" s="63" t="inlineStr"/>
    </row>
    <row r="100" ht="18" customHeight="1">
      <c r="A100" s="66">
        <f>'Employee Data'!A88</f>
        <v/>
      </c>
      <c r="B100" s="66">
        <f>'Employee Data'!G88</f>
        <v/>
      </c>
      <c r="C100" s="66">
        <f>'Employee Data'!F88</f>
        <v/>
      </c>
      <c r="D100" s="67">
        <f>'Employee Data'!D88</f>
        <v/>
      </c>
      <c r="E100" s="68">
        <f>'Employee Data'!B88</f>
        <v/>
      </c>
      <c r="F100" s="69">
        <f>IF(E100=5,$B$10,IF(E100=4,$B$9,IF(E100=3,$B$8,IF(E100=2,$B$7,IF(E100=1,$B$6,0)))))</f>
        <v/>
      </c>
      <c r="G100" s="70">
        <f>IF(D100&gt;0,D100*F100,"")</f>
        <v/>
      </c>
      <c r="H100" s="70">
        <f>IF(D100&gt;0,D100+G100,"")</f>
        <v/>
      </c>
      <c r="I100" s="68" t="inlineStr"/>
    </row>
    <row r="101" ht="18" customHeight="1">
      <c r="A101" s="61">
        <f>'Employee Data'!A89</f>
        <v/>
      </c>
      <c r="B101" s="61">
        <f>'Employee Data'!G89</f>
        <v/>
      </c>
      <c r="C101" s="61">
        <f>'Employee Data'!F89</f>
        <v/>
      </c>
      <c r="D101" s="62">
        <f>'Employee Data'!D89</f>
        <v/>
      </c>
      <c r="E101" s="63">
        <f>'Employee Data'!B89</f>
        <v/>
      </c>
      <c r="F101" s="64">
        <f>IF(E101=5,$B$10,IF(E101=4,$B$9,IF(E101=3,$B$8,IF(E101=2,$B$7,IF(E101=1,$B$6,0)))))</f>
        <v/>
      </c>
      <c r="G101" s="65">
        <f>IF(D101&gt;0,D101*F101,"")</f>
        <v/>
      </c>
      <c r="H101" s="65">
        <f>IF(D101&gt;0,D101+G101,"")</f>
        <v/>
      </c>
      <c r="I101" s="63" t="inlineStr"/>
    </row>
    <row r="102" ht="18" customHeight="1">
      <c r="A102" s="66">
        <f>'Employee Data'!A90</f>
        <v/>
      </c>
      <c r="B102" s="66">
        <f>'Employee Data'!G90</f>
        <v/>
      </c>
      <c r="C102" s="66">
        <f>'Employee Data'!F90</f>
        <v/>
      </c>
      <c r="D102" s="67">
        <f>'Employee Data'!D90</f>
        <v/>
      </c>
      <c r="E102" s="68">
        <f>'Employee Data'!B90</f>
        <v/>
      </c>
      <c r="F102" s="69">
        <f>IF(E102=5,$B$10,IF(E102=4,$B$9,IF(E102=3,$B$8,IF(E102=2,$B$7,IF(E102=1,$B$6,0)))))</f>
        <v/>
      </c>
      <c r="G102" s="70">
        <f>IF(D102&gt;0,D102*F102,"")</f>
        <v/>
      </c>
      <c r="H102" s="70">
        <f>IF(D102&gt;0,D102+G102,"")</f>
        <v/>
      </c>
      <c r="I102" s="68" t="inlineStr"/>
    </row>
    <row r="103" ht="18" customHeight="1">
      <c r="A103" s="61">
        <f>'Employee Data'!A91</f>
        <v/>
      </c>
      <c r="B103" s="61">
        <f>'Employee Data'!G91</f>
        <v/>
      </c>
      <c r="C103" s="61">
        <f>'Employee Data'!F91</f>
        <v/>
      </c>
      <c r="D103" s="62">
        <f>'Employee Data'!D91</f>
        <v/>
      </c>
      <c r="E103" s="63">
        <f>'Employee Data'!B91</f>
        <v/>
      </c>
      <c r="F103" s="64">
        <f>IF(E103=5,$B$10,IF(E103=4,$B$9,IF(E103=3,$B$8,IF(E103=2,$B$7,IF(E103=1,$B$6,0)))))</f>
        <v/>
      </c>
      <c r="G103" s="65">
        <f>IF(D103&gt;0,D103*F103,"")</f>
        <v/>
      </c>
      <c r="H103" s="65">
        <f>IF(D103&gt;0,D103+G103,"")</f>
        <v/>
      </c>
      <c r="I103" s="63" t="inlineStr"/>
    </row>
    <row r="104" ht="18" customHeight="1">
      <c r="A104" s="66">
        <f>'Employee Data'!A92</f>
        <v/>
      </c>
      <c r="B104" s="66">
        <f>'Employee Data'!G92</f>
        <v/>
      </c>
      <c r="C104" s="66">
        <f>'Employee Data'!F92</f>
        <v/>
      </c>
      <c r="D104" s="67">
        <f>'Employee Data'!D92</f>
        <v/>
      </c>
      <c r="E104" s="68">
        <f>'Employee Data'!B92</f>
        <v/>
      </c>
      <c r="F104" s="69">
        <f>IF(E104=5,$B$10,IF(E104=4,$B$9,IF(E104=3,$B$8,IF(E104=2,$B$7,IF(E104=1,$B$6,0)))))</f>
        <v/>
      </c>
      <c r="G104" s="70">
        <f>IF(D104&gt;0,D104*F104,"")</f>
        <v/>
      </c>
      <c r="H104" s="70">
        <f>IF(D104&gt;0,D104+G104,"")</f>
        <v/>
      </c>
      <c r="I104" s="68" t="inlineStr"/>
    </row>
    <row r="105" ht="18" customHeight="1">
      <c r="A105" s="61">
        <f>'Employee Data'!A93</f>
        <v/>
      </c>
      <c r="B105" s="61">
        <f>'Employee Data'!G93</f>
        <v/>
      </c>
      <c r="C105" s="61">
        <f>'Employee Data'!F93</f>
        <v/>
      </c>
      <c r="D105" s="62">
        <f>'Employee Data'!D93</f>
        <v/>
      </c>
      <c r="E105" s="63">
        <f>'Employee Data'!B93</f>
        <v/>
      </c>
      <c r="F105" s="64">
        <f>IF(E105=5,$B$10,IF(E105=4,$B$9,IF(E105=3,$B$8,IF(E105=2,$B$7,IF(E105=1,$B$6,0)))))</f>
        <v/>
      </c>
      <c r="G105" s="65">
        <f>IF(D105&gt;0,D105*F105,"")</f>
        <v/>
      </c>
      <c r="H105" s="65">
        <f>IF(D105&gt;0,D105+G105,"")</f>
        <v/>
      </c>
      <c r="I105" s="63" t="inlineStr"/>
    </row>
    <row r="106" ht="18" customHeight="1">
      <c r="A106" s="66">
        <f>'Employee Data'!A94</f>
        <v/>
      </c>
      <c r="B106" s="66">
        <f>'Employee Data'!G94</f>
        <v/>
      </c>
      <c r="C106" s="66">
        <f>'Employee Data'!F94</f>
        <v/>
      </c>
      <c r="D106" s="67">
        <f>'Employee Data'!D94</f>
        <v/>
      </c>
      <c r="E106" s="68">
        <f>'Employee Data'!B94</f>
        <v/>
      </c>
      <c r="F106" s="69">
        <f>IF(E106=5,$B$10,IF(E106=4,$B$9,IF(E106=3,$B$8,IF(E106=2,$B$7,IF(E106=1,$B$6,0)))))</f>
        <v/>
      </c>
      <c r="G106" s="70">
        <f>IF(D106&gt;0,D106*F106,"")</f>
        <v/>
      </c>
      <c r="H106" s="70">
        <f>IF(D106&gt;0,D106+G106,"")</f>
        <v/>
      </c>
      <c r="I106" s="68" t="inlineStr"/>
    </row>
    <row r="107" ht="18" customHeight="1">
      <c r="A107" s="61">
        <f>'Employee Data'!A95</f>
        <v/>
      </c>
      <c r="B107" s="61">
        <f>'Employee Data'!G95</f>
        <v/>
      </c>
      <c r="C107" s="61">
        <f>'Employee Data'!F95</f>
        <v/>
      </c>
      <c r="D107" s="62">
        <f>'Employee Data'!D95</f>
        <v/>
      </c>
      <c r="E107" s="63">
        <f>'Employee Data'!B95</f>
        <v/>
      </c>
      <c r="F107" s="64">
        <f>IF(E107=5,$B$10,IF(E107=4,$B$9,IF(E107=3,$B$8,IF(E107=2,$B$7,IF(E107=1,$B$6,0)))))</f>
        <v/>
      </c>
      <c r="G107" s="65">
        <f>IF(D107&gt;0,D107*F107,"")</f>
        <v/>
      </c>
      <c r="H107" s="65">
        <f>IF(D107&gt;0,D107+G107,"")</f>
        <v/>
      </c>
      <c r="I107" s="63" t="inlineStr"/>
    </row>
    <row r="108" ht="18" customHeight="1">
      <c r="A108" s="66">
        <f>'Employee Data'!A96</f>
        <v/>
      </c>
      <c r="B108" s="66">
        <f>'Employee Data'!G96</f>
        <v/>
      </c>
      <c r="C108" s="66">
        <f>'Employee Data'!F96</f>
        <v/>
      </c>
      <c r="D108" s="67">
        <f>'Employee Data'!D96</f>
        <v/>
      </c>
      <c r="E108" s="68">
        <f>'Employee Data'!B96</f>
        <v/>
      </c>
      <c r="F108" s="69">
        <f>IF(E108=5,$B$10,IF(E108=4,$B$9,IF(E108=3,$B$8,IF(E108=2,$B$7,IF(E108=1,$B$6,0)))))</f>
        <v/>
      </c>
      <c r="G108" s="70">
        <f>IF(D108&gt;0,D108*F108,"")</f>
        <v/>
      </c>
      <c r="H108" s="70">
        <f>IF(D108&gt;0,D108+G108,"")</f>
        <v/>
      </c>
      <c r="I108" s="68" t="inlineStr"/>
    </row>
    <row r="109" ht="18" customHeight="1">
      <c r="A109" s="61">
        <f>'Employee Data'!A97</f>
        <v/>
      </c>
      <c r="B109" s="61">
        <f>'Employee Data'!G97</f>
        <v/>
      </c>
      <c r="C109" s="61">
        <f>'Employee Data'!F97</f>
        <v/>
      </c>
      <c r="D109" s="62">
        <f>'Employee Data'!D97</f>
        <v/>
      </c>
      <c r="E109" s="63">
        <f>'Employee Data'!B97</f>
        <v/>
      </c>
      <c r="F109" s="64">
        <f>IF(E109=5,$B$10,IF(E109=4,$B$9,IF(E109=3,$B$8,IF(E109=2,$B$7,IF(E109=1,$B$6,0)))))</f>
        <v/>
      </c>
      <c r="G109" s="65">
        <f>IF(D109&gt;0,D109*F109,"")</f>
        <v/>
      </c>
      <c r="H109" s="65">
        <f>IF(D109&gt;0,D109+G109,"")</f>
        <v/>
      </c>
      <c r="I109" s="63" t="inlineStr"/>
    </row>
    <row r="110" ht="18" customHeight="1">
      <c r="A110" s="66">
        <f>'Employee Data'!A98</f>
        <v/>
      </c>
      <c r="B110" s="66">
        <f>'Employee Data'!G98</f>
        <v/>
      </c>
      <c r="C110" s="66">
        <f>'Employee Data'!F98</f>
        <v/>
      </c>
      <c r="D110" s="67">
        <f>'Employee Data'!D98</f>
        <v/>
      </c>
      <c r="E110" s="68">
        <f>'Employee Data'!B98</f>
        <v/>
      </c>
      <c r="F110" s="69">
        <f>IF(E110=5,$B$10,IF(E110=4,$B$9,IF(E110=3,$B$8,IF(E110=2,$B$7,IF(E110=1,$B$6,0)))))</f>
        <v/>
      </c>
      <c r="G110" s="70">
        <f>IF(D110&gt;0,D110*F110,"")</f>
        <v/>
      </c>
      <c r="H110" s="70">
        <f>IF(D110&gt;0,D110+G110,"")</f>
        <v/>
      </c>
      <c r="I110" s="68" t="inlineStr"/>
    </row>
    <row r="111" ht="18" customHeight="1">
      <c r="A111" s="61">
        <f>'Employee Data'!A99</f>
        <v/>
      </c>
      <c r="B111" s="61">
        <f>'Employee Data'!G99</f>
        <v/>
      </c>
      <c r="C111" s="61">
        <f>'Employee Data'!F99</f>
        <v/>
      </c>
      <c r="D111" s="62">
        <f>'Employee Data'!D99</f>
        <v/>
      </c>
      <c r="E111" s="63">
        <f>'Employee Data'!B99</f>
        <v/>
      </c>
      <c r="F111" s="64">
        <f>IF(E111=5,$B$10,IF(E111=4,$B$9,IF(E111=3,$B$8,IF(E111=2,$B$7,IF(E111=1,$B$6,0)))))</f>
        <v/>
      </c>
      <c r="G111" s="65">
        <f>IF(D111&gt;0,D111*F111,"")</f>
        <v/>
      </c>
      <c r="H111" s="65">
        <f>IF(D111&gt;0,D111+G111,"")</f>
        <v/>
      </c>
      <c r="I111" s="63" t="inlineStr"/>
    </row>
    <row r="112" ht="18" customHeight="1">
      <c r="A112" s="66">
        <f>'Employee Data'!A100</f>
        <v/>
      </c>
      <c r="B112" s="66">
        <f>'Employee Data'!G100</f>
        <v/>
      </c>
      <c r="C112" s="66">
        <f>'Employee Data'!F100</f>
        <v/>
      </c>
      <c r="D112" s="67">
        <f>'Employee Data'!D100</f>
        <v/>
      </c>
      <c r="E112" s="68">
        <f>'Employee Data'!B100</f>
        <v/>
      </c>
      <c r="F112" s="69">
        <f>IF(E112=5,$B$10,IF(E112=4,$B$9,IF(E112=3,$B$8,IF(E112=2,$B$7,IF(E112=1,$B$6,0)))))</f>
        <v/>
      </c>
      <c r="G112" s="70">
        <f>IF(D112&gt;0,D112*F112,"")</f>
        <v/>
      </c>
      <c r="H112" s="70">
        <f>IF(D112&gt;0,D112+G112,"")</f>
        <v/>
      </c>
      <c r="I112" s="68" t="inlineStr"/>
    </row>
    <row r="113" ht="18" customHeight="1">
      <c r="A113" s="61">
        <f>'Employee Data'!A101</f>
        <v/>
      </c>
      <c r="B113" s="61">
        <f>'Employee Data'!G101</f>
        <v/>
      </c>
      <c r="C113" s="61">
        <f>'Employee Data'!F101</f>
        <v/>
      </c>
      <c r="D113" s="62">
        <f>'Employee Data'!D101</f>
        <v/>
      </c>
      <c r="E113" s="63">
        <f>'Employee Data'!B101</f>
        <v/>
      </c>
      <c r="F113" s="64">
        <f>IF(E113=5,$B$10,IF(E113=4,$B$9,IF(E113=3,$B$8,IF(E113=2,$B$7,IF(E113=1,$B$6,0)))))</f>
        <v/>
      </c>
      <c r="G113" s="65">
        <f>IF(D113&gt;0,D113*F113,"")</f>
        <v/>
      </c>
      <c r="H113" s="65">
        <f>IF(D113&gt;0,D113+G113,"")</f>
        <v/>
      </c>
      <c r="I113" s="63" t="inlineStr"/>
    </row>
    <row r="114" ht="18" customHeight="1">
      <c r="A114" s="66">
        <f>'Employee Data'!A102</f>
        <v/>
      </c>
      <c r="B114" s="66">
        <f>'Employee Data'!G102</f>
        <v/>
      </c>
      <c r="C114" s="66">
        <f>'Employee Data'!F102</f>
        <v/>
      </c>
      <c r="D114" s="67">
        <f>'Employee Data'!D102</f>
        <v/>
      </c>
      <c r="E114" s="68">
        <f>'Employee Data'!B102</f>
        <v/>
      </c>
      <c r="F114" s="69">
        <f>IF(E114=5,$B$10,IF(E114=4,$B$9,IF(E114=3,$B$8,IF(E114=2,$B$7,IF(E114=1,$B$6,0)))))</f>
        <v/>
      </c>
      <c r="G114" s="70">
        <f>IF(D114&gt;0,D114*F114,"")</f>
        <v/>
      </c>
      <c r="H114" s="70">
        <f>IF(D114&gt;0,D114+G114,"")</f>
        <v/>
      </c>
      <c r="I114" s="68" t="inlineStr"/>
    </row>
    <row r="115" ht="18" customHeight="1">
      <c r="A115" s="61">
        <f>'Employee Data'!A103</f>
        <v/>
      </c>
      <c r="B115" s="61">
        <f>'Employee Data'!G103</f>
        <v/>
      </c>
      <c r="C115" s="61">
        <f>'Employee Data'!F103</f>
        <v/>
      </c>
      <c r="D115" s="62">
        <f>'Employee Data'!D103</f>
        <v/>
      </c>
      <c r="E115" s="63">
        <f>'Employee Data'!B103</f>
        <v/>
      </c>
      <c r="F115" s="64">
        <f>IF(E115=5,$B$10,IF(E115=4,$B$9,IF(E115=3,$B$8,IF(E115=2,$B$7,IF(E115=1,$B$6,0)))))</f>
        <v/>
      </c>
      <c r="G115" s="65">
        <f>IF(D115&gt;0,D115*F115,"")</f>
        <v/>
      </c>
      <c r="H115" s="65">
        <f>IF(D115&gt;0,D115+G115,"")</f>
        <v/>
      </c>
      <c r="I115" s="63" t="inlineStr"/>
    </row>
    <row r="116" ht="18" customHeight="1">
      <c r="A116" s="66">
        <f>'Employee Data'!A104</f>
        <v/>
      </c>
      <c r="B116" s="66">
        <f>'Employee Data'!G104</f>
        <v/>
      </c>
      <c r="C116" s="66">
        <f>'Employee Data'!F104</f>
        <v/>
      </c>
      <c r="D116" s="67">
        <f>'Employee Data'!D104</f>
        <v/>
      </c>
      <c r="E116" s="68">
        <f>'Employee Data'!B104</f>
        <v/>
      </c>
      <c r="F116" s="69">
        <f>IF(E116=5,$B$10,IF(E116=4,$B$9,IF(E116=3,$B$8,IF(E116=2,$B$7,IF(E116=1,$B$6,0)))))</f>
        <v/>
      </c>
      <c r="G116" s="70">
        <f>IF(D116&gt;0,D116*F116,"")</f>
        <v/>
      </c>
      <c r="H116" s="70">
        <f>IF(D116&gt;0,D116+G116,"")</f>
        <v/>
      </c>
      <c r="I116" s="68" t="inlineStr"/>
    </row>
    <row r="117" ht="18" customHeight="1">
      <c r="A117" s="61">
        <f>'Employee Data'!A105</f>
        <v/>
      </c>
      <c r="B117" s="61">
        <f>'Employee Data'!G105</f>
        <v/>
      </c>
      <c r="C117" s="61">
        <f>'Employee Data'!F105</f>
        <v/>
      </c>
      <c r="D117" s="62">
        <f>'Employee Data'!D105</f>
        <v/>
      </c>
      <c r="E117" s="63">
        <f>'Employee Data'!B105</f>
        <v/>
      </c>
      <c r="F117" s="64">
        <f>IF(E117=5,$B$10,IF(E117=4,$B$9,IF(E117=3,$B$8,IF(E117=2,$B$7,IF(E117=1,$B$6,0)))))</f>
        <v/>
      </c>
      <c r="G117" s="65">
        <f>IF(D117&gt;0,D117*F117,"")</f>
        <v/>
      </c>
      <c r="H117" s="65">
        <f>IF(D117&gt;0,D117+G117,"")</f>
        <v/>
      </c>
      <c r="I117" s="63" t="inlineStr"/>
    </row>
    <row r="118" ht="18" customHeight="1">
      <c r="A118" s="66">
        <f>'Employee Data'!A106</f>
        <v/>
      </c>
      <c r="B118" s="66">
        <f>'Employee Data'!G106</f>
        <v/>
      </c>
      <c r="C118" s="66">
        <f>'Employee Data'!F106</f>
        <v/>
      </c>
      <c r="D118" s="67">
        <f>'Employee Data'!D106</f>
        <v/>
      </c>
      <c r="E118" s="68">
        <f>'Employee Data'!B106</f>
        <v/>
      </c>
      <c r="F118" s="69">
        <f>IF(E118=5,$B$10,IF(E118=4,$B$9,IF(E118=3,$B$8,IF(E118=2,$B$7,IF(E118=1,$B$6,0)))))</f>
        <v/>
      </c>
      <c r="G118" s="70">
        <f>IF(D118&gt;0,D118*F118,"")</f>
        <v/>
      </c>
      <c r="H118" s="70">
        <f>IF(D118&gt;0,D118+G118,"")</f>
        <v/>
      </c>
      <c r="I118" s="68" t="inlineStr"/>
    </row>
  </sheetData>
  <mergeCells count="3">
    <mergeCell ref="A1:J1"/>
    <mergeCell ref="A3:J3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59E0B"/>
    <outlinePr summaryBelow="1" summaryRight="1"/>
    <pageSetUpPr/>
  </sheetPr>
  <dimension ref="A1:I10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5" customWidth="1" min="3" max="3"/>
    <col width="14" customWidth="1" min="4" max="4"/>
    <col width="16" customWidth="1" min="5" max="5"/>
    <col width="16" customWidth="1" min="6" max="6"/>
    <col width="14" customWidth="1" min="7" max="7"/>
    <col width="16" customWidth="1" min="8" max="8"/>
    <col width="12" customWidth="1" min="9" max="9"/>
  </cols>
  <sheetData>
    <row r="1">
      <c r="A1" s="17" t="inlineStr">
        <is>
          <t>VIRORAH PMS — Compa-Ratio</t>
        </is>
      </c>
    </row>
    <row r="2">
      <c r="A2" s="13" t="inlineStr">
        <is>
          <t>Pay equity analysis. Compa-ratio = Actual Salary / Market Salary. 0.9-1.1 is healthy range.</t>
        </is>
      </c>
    </row>
    <row r="3">
      <c r="A3" s="3" t="n"/>
    </row>
    <row r="5" ht="24" customHeight="1">
      <c r="A5" s="15" t="inlineStr">
        <is>
          <t>Employee</t>
        </is>
      </c>
      <c r="B5" s="15" t="inlineStr">
        <is>
          <t>Dept</t>
        </is>
      </c>
      <c r="C5" s="15" t="inlineStr">
        <is>
          <t>Level</t>
        </is>
      </c>
      <c r="D5" s="15" t="inlineStr">
        <is>
          <t>Gender</t>
        </is>
      </c>
      <c r="E5" s="15" t="inlineStr">
        <is>
          <t>Actual Salary</t>
        </is>
      </c>
      <c r="F5" s="15" t="inlineStr">
        <is>
          <t>Market Salary</t>
        </is>
      </c>
      <c r="G5" s="15" t="inlineStr">
        <is>
          <t>Compa-Ratio</t>
        </is>
      </c>
      <c r="H5" s="15" t="inlineStr">
        <is>
          <t>Status</t>
        </is>
      </c>
      <c r="I5" s="15" t="inlineStr">
        <is>
          <t>Percentile</t>
        </is>
      </c>
    </row>
    <row r="6">
      <c r="A6" s="61">
        <f>'Employee Data'!A7</f>
        <v/>
      </c>
      <c r="B6" s="61">
        <f>'Employee Data'!G7</f>
        <v/>
      </c>
      <c r="C6" s="61">
        <f>'Employee Data'!F7</f>
        <v/>
      </c>
      <c r="D6" s="61">
        <f>'Employee Data'!E7</f>
        <v/>
      </c>
      <c r="E6" s="62">
        <f>'Employee Data'!D7</f>
        <v/>
      </c>
      <c r="F6" s="62">
        <f>IF('Employee Data'!L7&gt;0,'Employee Data'!L7,'Employee Data'!D7*1.05)</f>
        <v/>
      </c>
      <c r="G6" s="71">
        <f>IF(E6&gt;0,ROUND(E6/F6,2),"")</f>
        <v/>
      </c>
      <c r="H6" s="72">
        <f>IF(G6="","",IF(G6&lt;0.9,"Below Market",IF(G6&gt;1.1,"Above Market","At Market")))</f>
        <v/>
      </c>
      <c r="I6" s="73">
        <f>IF(E6&gt;0,RANK(E6,$E$6:$E$105,1)/COUNTA($E$6:$E$105),"")</f>
        <v/>
      </c>
    </row>
    <row r="7">
      <c r="A7" s="66">
        <f>'Employee Data'!A8</f>
        <v/>
      </c>
      <c r="B7" s="66">
        <f>'Employee Data'!G8</f>
        <v/>
      </c>
      <c r="C7" s="66">
        <f>'Employee Data'!F8</f>
        <v/>
      </c>
      <c r="D7" s="66">
        <f>'Employee Data'!E8</f>
        <v/>
      </c>
      <c r="E7" s="67">
        <f>'Employee Data'!D8</f>
        <v/>
      </c>
      <c r="F7" s="67">
        <f>IF('Employee Data'!L8&gt;0,'Employee Data'!L8,'Employee Data'!D8*1.05)</f>
        <v/>
      </c>
      <c r="G7" s="74">
        <f>IF(E7&gt;0,ROUND(E7/F7,2),"")</f>
        <v/>
      </c>
      <c r="H7" s="75">
        <f>IF(G7="","",IF(G7&lt;0.9,"Below Market",IF(G7&gt;1.1,"Above Market","At Market")))</f>
        <v/>
      </c>
      <c r="I7" s="76">
        <f>IF(E7&gt;0,RANK(E7,$E$6:$E$105,1)/COUNTA($E$6:$E$105),"")</f>
        <v/>
      </c>
    </row>
    <row r="8">
      <c r="A8" s="61">
        <f>'Employee Data'!A9</f>
        <v/>
      </c>
      <c r="B8" s="61">
        <f>'Employee Data'!G9</f>
        <v/>
      </c>
      <c r="C8" s="61">
        <f>'Employee Data'!F9</f>
        <v/>
      </c>
      <c r="D8" s="61">
        <f>'Employee Data'!E9</f>
        <v/>
      </c>
      <c r="E8" s="62">
        <f>'Employee Data'!D9</f>
        <v/>
      </c>
      <c r="F8" s="62">
        <f>IF('Employee Data'!L9&gt;0,'Employee Data'!L9,'Employee Data'!D9*1.05)</f>
        <v/>
      </c>
      <c r="G8" s="71">
        <f>IF(E8&gt;0,ROUND(E8/F8,2),"")</f>
        <v/>
      </c>
      <c r="H8" s="72">
        <f>IF(G8="","",IF(G8&lt;0.9,"Below Market",IF(G8&gt;1.1,"Above Market","At Market")))</f>
        <v/>
      </c>
      <c r="I8" s="73">
        <f>IF(E8&gt;0,RANK(E8,$E$6:$E$105,1)/COUNTA($E$6:$E$105),"")</f>
        <v/>
      </c>
    </row>
    <row r="9">
      <c r="A9" s="66">
        <f>'Employee Data'!A10</f>
        <v/>
      </c>
      <c r="B9" s="66">
        <f>'Employee Data'!G10</f>
        <v/>
      </c>
      <c r="C9" s="66">
        <f>'Employee Data'!F10</f>
        <v/>
      </c>
      <c r="D9" s="66">
        <f>'Employee Data'!E10</f>
        <v/>
      </c>
      <c r="E9" s="67">
        <f>'Employee Data'!D10</f>
        <v/>
      </c>
      <c r="F9" s="67">
        <f>IF('Employee Data'!L10&gt;0,'Employee Data'!L10,'Employee Data'!D10*1.05)</f>
        <v/>
      </c>
      <c r="G9" s="74">
        <f>IF(E9&gt;0,ROUND(E9/F9,2),"")</f>
        <v/>
      </c>
      <c r="H9" s="75">
        <f>IF(G9="","",IF(G9&lt;0.9,"Below Market",IF(G9&gt;1.1,"Above Market","At Market")))</f>
        <v/>
      </c>
      <c r="I9" s="76">
        <f>IF(E9&gt;0,RANK(E9,$E$6:$E$105,1)/COUNTA($E$6:$E$105),"")</f>
        <v/>
      </c>
    </row>
    <row r="10">
      <c r="A10" s="61">
        <f>'Employee Data'!A11</f>
        <v/>
      </c>
      <c r="B10" s="61">
        <f>'Employee Data'!G11</f>
        <v/>
      </c>
      <c r="C10" s="61">
        <f>'Employee Data'!F11</f>
        <v/>
      </c>
      <c r="D10" s="61">
        <f>'Employee Data'!E11</f>
        <v/>
      </c>
      <c r="E10" s="62">
        <f>'Employee Data'!D11</f>
        <v/>
      </c>
      <c r="F10" s="62">
        <f>IF('Employee Data'!L11&gt;0,'Employee Data'!L11,'Employee Data'!D11*1.05)</f>
        <v/>
      </c>
      <c r="G10" s="71">
        <f>IF(E10&gt;0,ROUND(E10/F10,2),"")</f>
        <v/>
      </c>
      <c r="H10" s="72">
        <f>IF(G10="","",IF(G10&lt;0.9,"Below Market",IF(G10&gt;1.1,"Above Market","At Market")))</f>
        <v/>
      </c>
      <c r="I10" s="73">
        <f>IF(E10&gt;0,RANK(E10,$E$6:$E$105,1)/COUNTA($E$6:$E$105),"")</f>
        <v/>
      </c>
    </row>
    <row r="11">
      <c r="A11" s="66">
        <f>'Employee Data'!A12</f>
        <v/>
      </c>
      <c r="B11" s="66">
        <f>'Employee Data'!G12</f>
        <v/>
      </c>
      <c r="C11" s="66">
        <f>'Employee Data'!F12</f>
        <v/>
      </c>
      <c r="D11" s="66">
        <f>'Employee Data'!E12</f>
        <v/>
      </c>
      <c r="E11" s="67">
        <f>'Employee Data'!D12</f>
        <v/>
      </c>
      <c r="F11" s="67">
        <f>IF('Employee Data'!L12&gt;0,'Employee Data'!L12,'Employee Data'!D12*1.05)</f>
        <v/>
      </c>
      <c r="G11" s="74">
        <f>IF(E11&gt;0,ROUND(E11/F11,2),"")</f>
        <v/>
      </c>
      <c r="H11" s="75">
        <f>IF(G11="","",IF(G11&lt;0.9,"Below Market",IF(G11&gt;1.1,"Above Market","At Market")))</f>
        <v/>
      </c>
      <c r="I11" s="76">
        <f>IF(E11&gt;0,RANK(E11,$E$6:$E$105,1)/COUNTA($E$6:$E$105),"")</f>
        <v/>
      </c>
    </row>
    <row r="12">
      <c r="A12" s="61">
        <f>'Employee Data'!A13</f>
        <v/>
      </c>
      <c r="B12" s="61">
        <f>'Employee Data'!G13</f>
        <v/>
      </c>
      <c r="C12" s="61">
        <f>'Employee Data'!F13</f>
        <v/>
      </c>
      <c r="D12" s="61">
        <f>'Employee Data'!E13</f>
        <v/>
      </c>
      <c r="E12" s="62">
        <f>'Employee Data'!D13</f>
        <v/>
      </c>
      <c r="F12" s="62">
        <f>IF('Employee Data'!L13&gt;0,'Employee Data'!L13,'Employee Data'!D13*1.05)</f>
        <v/>
      </c>
      <c r="G12" s="71">
        <f>IF(E12&gt;0,ROUND(E12/F12,2),"")</f>
        <v/>
      </c>
      <c r="H12" s="72">
        <f>IF(G12="","",IF(G12&lt;0.9,"Below Market",IF(G12&gt;1.1,"Above Market","At Market")))</f>
        <v/>
      </c>
      <c r="I12" s="73">
        <f>IF(E12&gt;0,RANK(E12,$E$6:$E$105,1)/COUNTA($E$6:$E$105),"")</f>
        <v/>
      </c>
    </row>
    <row r="13">
      <c r="A13" s="66">
        <f>'Employee Data'!A14</f>
        <v/>
      </c>
      <c r="B13" s="66">
        <f>'Employee Data'!G14</f>
        <v/>
      </c>
      <c r="C13" s="66">
        <f>'Employee Data'!F14</f>
        <v/>
      </c>
      <c r="D13" s="66">
        <f>'Employee Data'!E14</f>
        <v/>
      </c>
      <c r="E13" s="67">
        <f>'Employee Data'!D14</f>
        <v/>
      </c>
      <c r="F13" s="67">
        <f>IF('Employee Data'!L14&gt;0,'Employee Data'!L14,'Employee Data'!D14*1.05)</f>
        <v/>
      </c>
      <c r="G13" s="74">
        <f>IF(E13&gt;0,ROUND(E13/F13,2),"")</f>
        <v/>
      </c>
      <c r="H13" s="75">
        <f>IF(G13="","",IF(G13&lt;0.9,"Below Market",IF(G13&gt;1.1,"Above Market","At Market")))</f>
        <v/>
      </c>
      <c r="I13" s="76">
        <f>IF(E13&gt;0,RANK(E13,$E$6:$E$105,1)/COUNTA($E$6:$E$105),"")</f>
        <v/>
      </c>
    </row>
    <row r="14">
      <c r="A14" s="61">
        <f>'Employee Data'!A15</f>
        <v/>
      </c>
      <c r="B14" s="61">
        <f>'Employee Data'!G15</f>
        <v/>
      </c>
      <c r="C14" s="61">
        <f>'Employee Data'!F15</f>
        <v/>
      </c>
      <c r="D14" s="61">
        <f>'Employee Data'!E15</f>
        <v/>
      </c>
      <c r="E14" s="62">
        <f>'Employee Data'!D15</f>
        <v/>
      </c>
      <c r="F14" s="62">
        <f>IF('Employee Data'!L15&gt;0,'Employee Data'!L15,'Employee Data'!D15*1.05)</f>
        <v/>
      </c>
      <c r="G14" s="71">
        <f>IF(E14&gt;0,ROUND(E14/F14,2),"")</f>
        <v/>
      </c>
      <c r="H14" s="72">
        <f>IF(G14="","",IF(G14&lt;0.9,"Below Market",IF(G14&gt;1.1,"Above Market","At Market")))</f>
        <v/>
      </c>
      <c r="I14" s="73">
        <f>IF(E14&gt;0,RANK(E14,$E$6:$E$105,1)/COUNTA($E$6:$E$105),"")</f>
        <v/>
      </c>
    </row>
    <row r="15">
      <c r="A15" s="66">
        <f>'Employee Data'!A16</f>
        <v/>
      </c>
      <c r="B15" s="66">
        <f>'Employee Data'!G16</f>
        <v/>
      </c>
      <c r="C15" s="66">
        <f>'Employee Data'!F16</f>
        <v/>
      </c>
      <c r="D15" s="66">
        <f>'Employee Data'!E16</f>
        <v/>
      </c>
      <c r="E15" s="67">
        <f>'Employee Data'!D16</f>
        <v/>
      </c>
      <c r="F15" s="67">
        <f>IF('Employee Data'!L16&gt;0,'Employee Data'!L16,'Employee Data'!D16*1.05)</f>
        <v/>
      </c>
      <c r="G15" s="74">
        <f>IF(E15&gt;0,ROUND(E15/F15,2),"")</f>
        <v/>
      </c>
      <c r="H15" s="75">
        <f>IF(G15="","",IF(G15&lt;0.9,"Below Market",IF(G15&gt;1.1,"Above Market","At Market")))</f>
        <v/>
      </c>
      <c r="I15" s="76">
        <f>IF(E15&gt;0,RANK(E15,$E$6:$E$105,1)/COUNTA($E$6:$E$105),"")</f>
        <v/>
      </c>
    </row>
    <row r="16">
      <c r="A16" s="61">
        <f>'Employee Data'!A17</f>
        <v/>
      </c>
      <c r="B16" s="61">
        <f>'Employee Data'!G17</f>
        <v/>
      </c>
      <c r="C16" s="61">
        <f>'Employee Data'!F17</f>
        <v/>
      </c>
      <c r="D16" s="61">
        <f>'Employee Data'!E17</f>
        <v/>
      </c>
      <c r="E16" s="62">
        <f>'Employee Data'!D17</f>
        <v/>
      </c>
      <c r="F16" s="62">
        <f>IF('Employee Data'!L17&gt;0,'Employee Data'!L17,'Employee Data'!D17*1.05)</f>
        <v/>
      </c>
      <c r="G16" s="71">
        <f>IF(E16&gt;0,ROUND(E16/F16,2),"")</f>
        <v/>
      </c>
      <c r="H16" s="72">
        <f>IF(G16="","",IF(G16&lt;0.9,"Below Market",IF(G16&gt;1.1,"Above Market","At Market")))</f>
        <v/>
      </c>
      <c r="I16" s="73">
        <f>IF(E16&gt;0,RANK(E16,$E$6:$E$105,1)/COUNTA($E$6:$E$105),"")</f>
        <v/>
      </c>
    </row>
    <row r="17">
      <c r="A17" s="66">
        <f>'Employee Data'!A18</f>
        <v/>
      </c>
      <c r="B17" s="66">
        <f>'Employee Data'!G18</f>
        <v/>
      </c>
      <c r="C17" s="66">
        <f>'Employee Data'!F18</f>
        <v/>
      </c>
      <c r="D17" s="66">
        <f>'Employee Data'!E18</f>
        <v/>
      </c>
      <c r="E17" s="67">
        <f>'Employee Data'!D18</f>
        <v/>
      </c>
      <c r="F17" s="67">
        <f>IF('Employee Data'!L18&gt;0,'Employee Data'!L18,'Employee Data'!D18*1.05)</f>
        <v/>
      </c>
      <c r="G17" s="74">
        <f>IF(E17&gt;0,ROUND(E17/F17,2),"")</f>
        <v/>
      </c>
      <c r="H17" s="75">
        <f>IF(G17="","",IF(G17&lt;0.9,"Below Market",IF(G17&gt;1.1,"Above Market","At Market")))</f>
        <v/>
      </c>
      <c r="I17" s="76">
        <f>IF(E17&gt;0,RANK(E17,$E$6:$E$105,1)/COUNTA($E$6:$E$105),"")</f>
        <v/>
      </c>
    </row>
    <row r="18">
      <c r="A18" s="61">
        <f>'Employee Data'!A19</f>
        <v/>
      </c>
      <c r="B18" s="61">
        <f>'Employee Data'!G19</f>
        <v/>
      </c>
      <c r="C18" s="61">
        <f>'Employee Data'!F19</f>
        <v/>
      </c>
      <c r="D18" s="61">
        <f>'Employee Data'!E19</f>
        <v/>
      </c>
      <c r="E18" s="62">
        <f>'Employee Data'!D19</f>
        <v/>
      </c>
      <c r="F18" s="62">
        <f>IF('Employee Data'!L19&gt;0,'Employee Data'!L19,'Employee Data'!D19*1.05)</f>
        <v/>
      </c>
      <c r="G18" s="71">
        <f>IF(E18&gt;0,ROUND(E18/F18,2),"")</f>
        <v/>
      </c>
      <c r="H18" s="72">
        <f>IF(G18="","",IF(G18&lt;0.9,"Below Market",IF(G18&gt;1.1,"Above Market","At Market")))</f>
        <v/>
      </c>
      <c r="I18" s="73">
        <f>IF(E18&gt;0,RANK(E18,$E$6:$E$105,1)/COUNTA($E$6:$E$105),"")</f>
        <v/>
      </c>
    </row>
    <row r="19">
      <c r="A19" s="66">
        <f>'Employee Data'!A20</f>
        <v/>
      </c>
      <c r="B19" s="66">
        <f>'Employee Data'!G20</f>
        <v/>
      </c>
      <c r="C19" s="66">
        <f>'Employee Data'!F20</f>
        <v/>
      </c>
      <c r="D19" s="66">
        <f>'Employee Data'!E20</f>
        <v/>
      </c>
      <c r="E19" s="67">
        <f>'Employee Data'!D20</f>
        <v/>
      </c>
      <c r="F19" s="67">
        <f>IF('Employee Data'!L20&gt;0,'Employee Data'!L20,'Employee Data'!D20*1.05)</f>
        <v/>
      </c>
      <c r="G19" s="74">
        <f>IF(E19&gt;0,ROUND(E19/F19,2),"")</f>
        <v/>
      </c>
      <c r="H19" s="75">
        <f>IF(G19="","",IF(G19&lt;0.9,"Below Market",IF(G19&gt;1.1,"Above Market","At Market")))</f>
        <v/>
      </c>
      <c r="I19" s="76">
        <f>IF(E19&gt;0,RANK(E19,$E$6:$E$105,1)/COUNTA($E$6:$E$105),"")</f>
        <v/>
      </c>
    </row>
    <row r="20">
      <c r="A20" s="61">
        <f>'Employee Data'!A21</f>
        <v/>
      </c>
      <c r="B20" s="61">
        <f>'Employee Data'!G21</f>
        <v/>
      </c>
      <c r="C20" s="61">
        <f>'Employee Data'!F21</f>
        <v/>
      </c>
      <c r="D20" s="61">
        <f>'Employee Data'!E21</f>
        <v/>
      </c>
      <c r="E20" s="62">
        <f>'Employee Data'!D21</f>
        <v/>
      </c>
      <c r="F20" s="62">
        <f>IF('Employee Data'!L21&gt;0,'Employee Data'!L21,'Employee Data'!D21*1.05)</f>
        <v/>
      </c>
      <c r="G20" s="71">
        <f>IF(E20&gt;0,ROUND(E20/F20,2),"")</f>
        <v/>
      </c>
      <c r="H20" s="72">
        <f>IF(G20="","",IF(G20&lt;0.9,"Below Market",IF(G20&gt;1.1,"Above Market","At Market")))</f>
        <v/>
      </c>
      <c r="I20" s="73">
        <f>IF(E20&gt;0,RANK(E20,$E$6:$E$105,1)/COUNTA($E$6:$E$105),"")</f>
        <v/>
      </c>
    </row>
    <row r="21">
      <c r="A21" s="66">
        <f>'Employee Data'!A22</f>
        <v/>
      </c>
      <c r="B21" s="66">
        <f>'Employee Data'!G22</f>
        <v/>
      </c>
      <c r="C21" s="66">
        <f>'Employee Data'!F22</f>
        <v/>
      </c>
      <c r="D21" s="66">
        <f>'Employee Data'!E22</f>
        <v/>
      </c>
      <c r="E21" s="67">
        <f>'Employee Data'!D22</f>
        <v/>
      </c>
      <c r="F21" s="67">
        <f>IF('Employee Data'!L22&gt;0,'Employee Data'!L22,'Employee Data'!D22*1.05)</f>
        <v/>
      </c>
      <c r="G21" s="74">
        <f>IF(E21&gt;0,ROUND(E21/F21,2),"")</f>
        <v/>
      </c>
      <c r="H21" s="75">
        <f>IF(G21="","",IF(G21&lt;0.9,"Below Market",IF(G21&gt;1.1,"Above Market","At Market")))</f>
        <v/>
      </c>
      <c r="I21" s="76">
        <f>IF(E21&gt;0,RANK(E21,$E$6:$E$105,1)/COUNTA($E$6:$E$105),"")</f>
        <v/>
      </c>
    </row>
    <row r="22">
      <c r="A22" s="61">
        <f>'Employee Data'!A23</f>
        <v/>
      </c>
      <c r="B22" s="61">
        <f>'Employee Data'!G23</f>
        <v/>
      </c>
      <c r="C22" s="61">
        <f>'Employee Data'!F23</f>
        <v/>
      </c>
      <c r="D22" s="61">
        <f>'Employee Data'!E23</f>
        <v/>
      </c>
      <c r="E22" s="62">
        <f>'Employee Data'!D23</f>
        <v/>
      </c>
      <c r="F22" s="62">
        <f>IF('Employee Data'!L23&gt;0,'Employee Data'!L23,'Employee Data'!D23*1.05)</f>
        <v/>
      </c>
      <c r="G22" s="71">
        <f>IF(E22&gt;0,ROUND(E22/F22,2),"")</f>
        <v/>
      </c>
      <c r="H22" s="72">
        <f>IF(G22="","",IF(G22&lt;0.9,"Below Market",IF(G22&gt;1.1,"Above Market","At Market")))</f>
        <v/>
      </c>
      <c r="I22" s="73">
        <f>IF(E22&gt;0,RANK(E22,$E$6:$E$105,1)/COUNTA($E$6:$E$105),"")</f>
        <v/>
      </c>
    </row>
    <row r="23">
      <c r="A23" s="66">
        <f>'Employee Data'!A24</f>
        <v/>
      </c>
      <c r="B23" s="66">
        <f>'Employee Data'!G24</f>
        <v/>
      </c>
      <c r="C23" s="66">
        <f>'Employee Data'!F24</f>
        <v/>
      </c>
      <c r="D23" s="66">
        <f>'Employee Data'!E24</f>
        <v/>
      </c>
      <c r="E23" s="67">
        <f>'Employee Data'!D24</f>
        <v/>
      </c>
      <c r="F23" s="67">
        <f>IF('Employee Data'!L24&gt;0,'Employee Data'!L24,'Employee Data'!D24*1.05)</f>
        <v/>
      </c>
      <c r="G23" s="74">
        <f>IF(E23&gt;0,ROUND(E23/F23,2),"")</f>
        <v/>
      </c>
      <c r="H23" s="75">
        <f>IF(G23="","",IF(G23&lt;0.9,"Below Market",IF(G23&gt;1.1,"Above Market","At Market")))</f>
        <v/>
      </c>
      <c r="I23" s="76">
        <f>IF(E23&gt;0,RANK(E23,$E$6:$E$105,1)/COUNTA($E$6:$E$105),"")</f>
        <v/>
      </c>
    </row>
    <row r="24">
      <c r="A24" s="61">
        <f>'Employee Data'!A25</f>
        <v/>
      </c>
      <c r="B24" s="61">
        <f>'Employee Data'!G25</f>
        <v/>
      </c>
      <c r="C24" s="61">
        <f>'Employee Data'!F25</f>
        <v/>
      </c>
      <c r="D24" s="61">
        <f>'Employee Data'!E25</f>
        <v/>
      </c>
      <c r="E24" s="62">
        <f>'Employee Data'!D25</f>
        <v/>
      </c>
      <c r="F24" s="62">
        <f>IF('Employee Data'!L25&gt;0,'Employee Data'!L25,'Employee Data'!D25*1.05)</f>
        <v/>
      </c>
      <c r="G24" s="71">
        <f>IF(E24&gt;0,ROUND(E24/F24,2),"")</f>
        <v/>
      </c>
      <c r="H24" s="72">
        <f>IF(G24="","",IF(G24&lt;0.9,"Below Market",IF(G24&gt;1.1,"Above Market","At Market")))</f>
        <v/>
      </c>
      <c r="I24" s="73">
        <f>IF(E24&gt;0,RANK(E24,$E$6:$E$105,1)/COUNTA($E$6:$E$105),"")</f>
        <v/>
      </c>
    </row>
    <row r="25">
      <c r="A25" s="66">
        <f>'Employee Data'!A26</f>
        <v/>
      </c>
      <c r="B25" s="66">
        <f>'Employee Data'!G26</f>
        <v/>
      </c>
      <c r="C25" s="66">
        <f>'Employee Data'!F26</f>
        <v/>
      </c>
      <c r="D25" s="66">
        <f>'Employee Data'!E26</f>
        <v/>
      </c>
      <c r="E25" s="67">
        <f>'Employee Data'!D26</f>
        <v/>
      </c>
      <c r="F25" s="67">
        <f>IF('Employee Data'!L26&gt;0,'Employee Data'!L26,'Employee Data'!D26*1.05)</f>
        <v/>
      </c>
      <c r="G25" s="74">
        <f>IF(E25&gt;0,ROUND(E25/F25,2),"")</f>
        <v/>
      </c>
      <c r="H25" s="75">
        <f>IF(G25="","",IF(G25&lt;0.9,"Below Market",IF(G25&gt;1.1,"Above Market","At Market")))</f>
        <v/>
      </c>
      <c r="I25" s="76">
        <f>IF(E25&gt;0,RANK(E25,$E$6:$E$105,1)/COUNTA($E$6:$E$105),"")</f>
        <v/>
      </c>
    </row>
    <row r="26">
      <c r="A26" s="61">
        <f>'Employee Data'!A27</f>
        <v/>
      </c>
      <c r="B26" s="61">
        <f>'Employee Data'!G27</f>
        <v/>
      </c>
      <c r="C26" s="61">
        <f>'Employee Data'!F27</f>
        <v/>
      </c>
      <c r="D26" s="61">
        <f>'Employee Data'!E27</f>
        <v/>
      </c>
      <c r="E26" s="62">
        <f>'Employee Data'!D27</f>
        <v/>
      </c>
      <c r="F26" s="62">
        <f>IF('Employee Data'!L27&gt;0,'Employee Data'!L27,'Employee Data'!D27*1.05)</f>
        <v/>
      </c>
      <c r="G26" s="71">
        <f>IF(E26&gt;0,ROUND(E26/F26,2),"")</f>
        <v/>
      </c>
      <c r="H26" s="72">
        <f>IF(G26="","",IF(G26&lt;0.9,"Below Market",IF(G26&gt;1.1,"Above Market","At Market")))</f>
        <v/>
      </c>
      <c r="I26" s="73">
        <f>IF(E26&gt;0,RANK(E26,$E$6:$E$105,1)/COUNTA($E$6:$E$105),"")</f>
        <v/>
      </c>
    </row>
    <row r="27">
      <c r="A27" s="66">
        <f>'Employee Data'!A28</f>
        <v/>
      </c>
      <c r="B27" s="66">
        <f>'Employee Data'!G28</f>
        <v/>
      </c>
      <c r="C27" s="66">
        <f>'Employee Data'!F28</f>
        <v/>
      </c>
      <c r="D27" s="66">
        <f>'Employee Data'!E28</f>
        <v/>
      </c>
      <c r="E27" s="67">
        <f>'Employee Data'!D28</f>
        <v/>
      </c>
      <c r="F27" s="67">
        <f>IF('Employee Data'!L28&gt;0,'Employee Data'!L28,'Employee Data'!D28*1.05)</f>
        <v/>
      </c>
      <c r="G27" s="74">
        <f>IF(E27&gt;0,ROUND(E27/F27,2),"")</f>
        <v/>
      </c>
      <c r="H27" s="75">
        <f>IF(G27="","",IF(G27&lt;0.9,"Below Market",IF(G27&gt;1.1,"Above Market","At Market")))</f>
        <v/>
      </c>
      <c r="I27" s="76">
        <f>IF(E27&gt;0,RANK(E27,$E$6:$E$105,1)/COUNTA($E$6:$E$105),"")</f>
        <v/>
      </c>
    </row>
    <row r="28">
      <c r="A28" s="61">
        <f>'Employee Data'!A29</f>
        <v/>
      </c>
      <c r="B28" s="61">
        <f>'Employee Data'!G29</f>
        <v/>
      </c>
      <c r="C28" s="61">
        <f>'Employee Data'!F29</f>
        <v/>
      </c>
      <c r="D28" s="61">
        <f>'Employee Data'!E29</f>
        <v/>
      </c>
      <c r="E28" s="62">
        <f>'Employee Data'!D29</f>
        <v/>
      </c>
      <c r="F28" s="62">
        <f>IF('Employee Data'!L29&gt;0,'Employee Data'!L29,'Employee Data'!D29*1.05)</f>
        <v/>
      </c>
      <c r="G28" s="71">
        <f>IF(E28&gt;0,ROUND(E28/F28,2),"")</f>
        <v/>
      </c>
      <c r="H28" s="72">
        <f>IF(G28="","",IF(G28&lt;0.9,"Below Market",IF(G28&gt;1.1,"Above Market","At Market")))</f>
        <v/>
      </c>
      <c r="I28" s="73">
        <f>IF(E28&gt;0,RANK(E28,$E$6:$E$105,1)/COUNTA($E$6:$E$105),"")</f>
        <v/>
      </c>
    </row>
    <row r="29">
      <c r="A29" s="66">
        <f>'Employee Data'!A30</f>
        <v/>
      </c>
      <c r="B29" s="66">
        <f>'Employee Data'!G30</f>
        <v/>
      </c>
      <c r="C29" s="66">
        <f>'Employee Data'!F30</f>
        <v/>
      </c>
      <c r="D29" s="66">
        <f>'Employee Data'!E30</f>
        <v/>
      </c>
      <c r="E29" s="67">
        <f>'Employee Data'!D30</f>
        <v/>
      </c>
      <c r="F29" s="67">
        <f>IF('Employee Data'!L30&gt;0,'Employee Data'!L30,'Employee Data'!D30*1.05)</f>
        <v/>
      </c>
      <c r="G29" s="74">
        <f>IF(E29&gt;0,ROUND(E29/F29,2),"")</f>
        <v/>
      </c>
      <c r="H29" s="75">
        <f>IF(G29="","",IF(G29&lt;0.9,"Below Market",IF(G29&gt;1.1,"Above Market","At Market")))</f>
        <v/>
      </c>
      <c r="I29" s="76">
        <f>IF(E29&gt;0,RANK(E29,$E$6:$E$105,1)/COUNTA($E$6:$E$105),"")</f>
        <v/>
      </c>
    </row>
    <row r="30">
      <c r="A30" s="61">
        <f>'Employee Data'!A31</f>
        <v/>
      </c>
      <c r="B30" s="61">
        <f>'Employee Data'!G31</f>
        <v/>
      </c>
      <c r="C30" s="61">
        <f>'Employee Data'!F31</f>
        <v/>
      </c>
      <c r="D30" s="61">
        <f>'Employee Data'!E31</f>
        <v/>
      </c>
      <c r="E30" s="62">
        <f>'Employee Data'!D31</f>
        <v/>
      </c>
      <c r="F30" s="62">
        <f>IF('Employee Data'!L31&gt;0,'Employee Data'!L31,'Employee Data'!D31*1.05)</f>
        <v/>
      </c>
      <c r="G30" s="71">
        <f>IF(E30&gt;0,ROUND(E30/F30,2),"")</f>
        <v/>
      </c>
      <c r="H30" s="72">
        <f>IF(G30="","",IF(G30&lt;0.9,"Below Market",IF(G30&gt;1.1,"Above Market","At Market")))</f>
        <v/>
      </c>
      <c r="I30" s="73">
        <f>IF(E30&gt;0,RANK(E30,$E$6:$E$105,1)/COUNTA($E$6:$E$105),"")</f>
        <v/>
      </c>
    </row>
    <row r="31">
      <c r="A31" s="66">
        <f>'Employee Data'!A32</f>
        <v/>
      </c>
      <c r="B31" s="66">
        <f>'Employee Data'!G32</f>
        <v/>
      </c>
      <c r="C31" s="66">
        <f>'Employee Data'!F32</f>
        <v/>
      </c>
      <c r="D31" s="66">
        <f>'Employee Data'!E32</f>
        <v/>
      </c>
      <c r="E31" s="67">
        <f>'Employee Data'!D32</f>
        <v/>
      </c>
      <c r="F31" s="67">
        <f>IF('Employee Data'!L32&gt;0,'Employee Data'!L32,'Employee Data'!D32*1.05)</f>
        <v/>
      </c>
      <c r="G31" s="74">
        <f>IF(E31&gt;0,ROUND(E31/F31,2),"")</f>
        <v/>
      </c>
      <c r="H31" s="75">
        <f>IF(G31="","",IF(G31&lt;0.9,"Below Market",IF(G31&gt;1.1,"Above Market","At Market")))</f>
        <v/>
      </c>
      <c r="I31" s="76">
        <f>IF(E31&gt;0,RANK(E31,$E$6:$E$105,1)/COUNTA($E$6:$E$105),"")</f>
        <v/>
      </c>
    </row>
    <row r="32">
      <c r="A32" s="61">
        <f>'Employee Data'!A33</f>
        <v/>
      </c>
      <c r="B32" s="61">
        <f>'Employee Data'!G33</f>
        <v/>
      </c>
      <c r="C32" s="61">
        <f>'Employee Data'!F33</f>
        <v/>
      </c>
      <c r="D32" s="61">
        <f>'Employee Data'!E33</f>
        <v/>
      </c>
      <c r="E32" s="62">
        <f>'Employee Data'!D33</f>
        <v/>
      </c>
      <c r="F32" s="62">
        <f>IF('Employee Data'!L33&gt;0,'Employee Data'!L33,'Employee Data'!D33*1.05)</f>
        <v/>
      </c>
      <c r="G32" s="71">
        <f>IF(E32&gt;0,ROUND(E32/F32,2),"")</f>
        <v/>
      </c>
      <c r="H32" s="72">
        <f>IF(G32="","",IF(G32&lt;0.9,"Below Market",IF(G32&gt;1.1,"Above Market","At Market")))</f>
        <v/>
      </c>
      <c r="I32" s="73">
        <f>IF(E32&gt;0,RANK(E32,$E$6:$E$105,1)/COUNTA($E$6:$E$105),"")</f>
        <v/>
      </c>
    </row>
    <row r="33">
      <c r="A33" s="66">
        <f>'Employee Data'!A34</f>
        <v/>
      </c>
      <c r="B33" s="66">
        <f>'Employee Data'!G34</f>
        <v/>
      </c>
      <c r="C33" s="66">
        <f>'Employee Data'!F34</f>
        <v/>
      </c>
      <c r="D33" s="66">
        <f>'Employee Data'!E34</f>
        <v/>
      </c>
      <c r="E33" s="67">
        <f>'Employee Data'!D34</f>
        <v/>
      </c>
      <c r="F33" s="67">
        <f>IF('Employee Data'!L34&gt;0,'Employee Data'!L34,'Employee Data'!D34*1.05)</f>
        <v/>
      </c>
      <c r="G33" s="74">
        <f>IF(E33&gt;0,ROUND(E33/F33,2),"")</f>
        <v/>
      </c>
      <c r="H33" s="75">
        <f>IF(G33="","",IF(G33&lt;0.9,"Below Market",IF(G33&gt;1.1,"Above Market","At Market")))</f>
        <v/>
      </c>
      <c r="I33" s="76">
        <f>IF(E33&gt;0,RANK(E33,$E$6:$E$105,1)/COUNTA($E$6:$E$105),"")</f>
        <v/>
      </c>
    </row>
    <row r="34">
      <c r="A34" s="61">
        <f>'Employee Data'!A35</f>
        <v/>
      </c>
      <c r="B34" s="61">
        <f>'Employee Data'!G35</f>
        <v/>
      </c>
      <c r="C34" s="61">
        <f>'Employee Data'!F35</f>
        <v/>
      </c>
      <c r="D34" s="61">
        <f>'Employee Data'!E35</f>
        <v/>
      </c>
      <c r="E34" s="62">
        <f>'Employee Data'!D35</f>
        <v/>
      </c>
      <c r="F34" s="62">
        <f>IF('Employee Data'!L35&gt;0,'Employee Data'!L35,'Employee Data'!D35*1.05)</f>
        <v/>
      </c>
      <c r="G34" s="71">
        <f>IF(E34&gt;0,ROUND(E34/F34,2),"")</f>
        <v/>
      </c>
      <c r="H34" s="72">
        <f>IF(G34="","",IF(G34&lt;0.9,"Below Market",IF(G34&gt;1.1,"Above Market","At Market")))</f>
        <v/>
      </c>
      <c r="I34" s="73">
        <f>IF(E34&gt;0,RANK(E34,$E$6:$E$105,1)/COUNTA($E$6:$E$105),"")</f>
        <v/>
      </c>
    </row>
    <row r="35">
      <c r="A35" s="66">
        <f>'Employee Data'!A36</f>
        <v/>
      </c>
      <c r="B35" s="66">
        <f>'Employee Data'!G36</f>
        <v/>
      </c>
      <c r="C35" s="66">
        <f>'Employee Data'!F36</f>
        <v/>
      </c>
      <c r="D35" s="66">
        <f>'Employee Data'!E36</f>
        <v/>
      </c>
      <c r="E35" s="67">
        <f>'Employee Data'!D36</f>
        <v/>
      </c>
      <c r="F35" s="67">
        <f>IF('Employee Data'!L36&gt;0,'Employee Data'!L36,'Employee Data'!D36*1.05)</f>
        <v/>
      </c>
      <c r="G35" s="74">
        <f>IF(E35&gt;0,ROUND(E35/F35,2),"")</f>
        <v/>
      </c>
      <c r="H35" s="75">
        <f>IF(G35="","",IF(G35&lt;0.9,"Below Market",IF(G35&gt;1.1,"Above Market","At Market")))</f>
        <v/>
      </c>
      <c r="I35" s="76">
        <f>IF(E35&gt;0,RANK(E35,$E$6:$E$105,1)/COUNTA($E$6:$E$105),"")</f>
        <v/>
      </c>
    </row>
    <row r="36">
      <c r="A36" s="61">
        <f>'Employee Data'!A37</f>
        <v/>
      </c>
      <c r="B36" s="61">
        <f>'Employee Data'!G37</f>
        <v/>
      </c>
      <c r="C36" s="61">
        <f>'Employee Data'!F37</f>
        <v/>
      </c>
      <c r="D36" s="61">
        <f>'Employee Data'!E37</f>
        <v/>
      </c>
      <c r="E36" s="62">
        <f>'Employee Data'!D37</f>
        <v/>
      </c>
      <c r="F36" s="62">
        <f>IF('Employee Data'!L37&gt;0,'Employee Data'!L37,'Employee Data'!D37*1.05)</f>
        <v/>
      </c>
      <c r="G36" s="71">
        <f>IF(E36&gt;0,ROUND(E36/F36,2),"")</f>
        <v/>
      </c>
      <c r="H36" s="72">
        <f>IF(G36="","",IF(G36&lt;0.9,"Below Market",IF(G36&gt;1.1,"Above Market","At Market")))</f>
        <v/>
      </c>
      <c r="I36" s="73">
        <f>IF(E36&gt;0,RANK(E36,$E$6:$E$105,1)/COUNTA($E$6:$E$105),"")</f>
        <v/>
      </c>
    </row>
    <row r="37">
      <c r="A37" s="66">
        <f>'Employee Data'!A38</f>
        <v/>
      </c>
      <c r="B37" s="66">
        <f>'Employee Data'!G38</f>
        <v/>
      </c>
      <c r="C37" s="66">
        <f>'Employee Data'!F38</f>
        <v/>
      </c>
      <c r="D37" s="66">
        <f>'Employee Data'!E38</f>
        <v/>
      </c>
      <c r="E37" s="67">
        <f>'Employee Data'!D38</f>
        <v/>
      </c>
      <c r="F37" s="67">
        <f>IF('Employee Data'!L38&gt;0,'Employee Data'!L38,'Employee Data'!D38*1.05)</f>
        <v/>
      </c>
      <c r="G37" s="74">
        <f>IF(E37&gt;0,ROUND(E37/F37,2),"")</f>
        <v/>
      </c>
      <c r="H37" s="75">
        <f>IF(G37="","",IF(G37&lt;0.9,"Below Market",IF(G37&gt;1.1,"Above Market","At Market")))</f>
        <v/>
      </c>
      <c r="I37" s="76">
        <f>IF(E37&gt;0,RANK(E37,$E$6:$E$105,1)/COUNTA($E$6:$E$105),"")</f>
        <v/>
      </c>
    </row>
    <row r="38">
      <c r="A38" s="61">
        <f>'Employee Data'!A39</f>
        <v/>
      </c>
      <c r="B38" s="61">
        <f>'Employee Data'!G39</f>
        <v/>
      </c>
      <c r="C38" s="61">
        <f>'Employee Data'!F39</f>
        <v/>
      </c>
      <c r="D38" s="61">
        <f>'Employee Data'!E39</f>
        <v/>
      </c>
      <c r="E38" s="62">
        <f>'Employee Data'!D39</f>
        <v/>
      </c>
      <c r="F38" s="62">
        <f>IF('Employee Data'!L39&gt;0,'Employee Data'!L39,'Employee Data'!D39*1.05)</f>
        <v/>
      </c>
      <c r="G38" s="71">
        <f>IF(E38&gt;0,ROUND(E38/F38,2),"")</f>
        <v/>
      </c>
      <c r="H38" s="72">
        <f>IF(G38="","",IF(G38&lt;0.9,"Below Market",IF(G38&gt;1.1,"Above Market","At Market")))</f>
        <v/>
      </c>
      <c r="I38" s="73">
        <f>IF(E38&gt;0,RANK(E38,$E$6:$E$105,1)/COUNTA($E$6:$E$105),"")</f>
        <v/>
      </c>
    </row>
    <row r="39">
      <c r="A39" s="66">
        <f>'Employee Data'!A40</f>
        <v/>
      </c>
      <c r="B39" s="66">
        <f>'Employee Data'!G40</f>
        <v/>
      </c>
      <c r="C39" s="66">
        <f>'Employee Data'!F40</f>
        <v/>
      </c>
      <c r="D39" s="66">
        <f>'Employee Data'!E40</f>
        <v/>
      </c>
      <c r="E39" s="67">
        <f>'Employee Data'!D40</f>
        <v/>
      </c>
      <c r="F39" s="67">
        <f>IF('Employee Data'!L40&gt;0,'Employee Data'!L40,'Employee Data'!D40*1.05)</f>
        <v/>
      </c>
      <c r="G39" s="74">
        <f>IF(E39&gt;0,ROUND(E39/F39,2),"")</f>
        <v/>
      </c>
      <c r="H39" s="75">
        <f>IF(G39="","",IF(G39&lt;0.9,"Below Market",IF(G39&gt;1.1,"Above Market","At Market")))</f>
        <v/>
      </c>
      <c r="I39" s="76">
        <f>IF(E39&gt;0,RANK(E39,$E$6:$E$105,1)/COUNTA($E$6:$E$105),"")</f>
        <v/>
      </c>
    </row>
    <row r="40">
      <c r="A40" s="61">
        <f>'Employee Data'!A41</f>
        <v/>
      </c>
      <c r="B40" s="61">
        <f>'Employee Data'!G41</f>
        <v/>
      </c>
      <c r="C40" s="61">
        <f>'Employee Data'!F41</f>
        <v/>
      </c>
      <c r="D40" s="61">
        <f>'Employee Data'!E41</f>
        <v/>
      </c>
      <c r="E40" s="62">
        <f>'Employee Data'!D41</f>
        <v/>
      </c>
      <c r="F40" s="62">
        <f>IF('Employee Data'!L41&gt;0,'Employee Data'!L41,'Employee Data'!D41*1.05)</f>
        <v/>
      </c>
      <c r="G40" s="71">
        <f>IF(E40&gt;0,ROUND(E40/F40,2),"")</f>
        <v/>
      </c>
      <c r="H40" s="72">
        <f>IF(G40="","",IF(G40&lt;0.9,"Below Market",IF(G40&gt;1.1,"Above Market","At Market")))</f>
        <v/>
      </c>
      <c r="I40" s="73">
        <f>IF(E40&gt;0,RANK(E40,$E$6:$E$105,1)/COUNTA($E$6:$E$105),"")</f>
        <v/>
      </c>
    </row>
    <row r="41">
      <c r="A41" s="66">
        <f>'Employee Data'!A42</f>
        <v/>
      </c>
      <c r="B41" s="66">
        <f>'Employee Data'!G42</f>
        <v/>
      </c>
      <c r="C41" s="66">
        <f>'Employee Data'!F42</f>
        <v/>
      </c>
      <c r="D41" s="66">
        <f>'Employee Data'!E42</f>
        <v/>
      </c>
      <c r="E41" s="67">
        <f>'Employee Data'!D42</f>
        <v/>
      </c>
      <c r="F41" s="67">
        <f>IF('Employee Data'!L42&gt;0,'Employee Data'!L42,'Employee Data'!D42*1.05)</f>
        <v/>
      </c>
      <c r="G41" s="74">
        <f>IF(E41&gt;0,ROUND(E41/F41,2),"")</f>
        <v/>
      </c>
      <c r="H41" s="75">
        <f>IF(G41="","",IF(G41&lt;0.9,"Below Market",IF(G41&gt;1.1,"Above Market","At Market")))</f>
        <v/>
      </c>
      <c r="I41" s="76">
        <f>IF(E41&gt;0,RANK(E41,$E$6:$E$105,1)/COUNTA($E$6:$E$105),"")</f>
        <v/>
      </c>
    </row>
    <row r="42">
      <c r="A42" s="61">
        <f>'Employee Data'!A43</f>
        <v/>
      </c>
      <c r="B42" s="61">
        <f>'Employee Data'!G43</f>
        <v/>
      </c>
      <c r="C42" s="61">
        <f>'Employee Data'!F43</f>
        <v/>
      </c>
      <c r="D42" s="61">
        <f>'Employee Data'!E43</f>
        <v/>
      </c>
      <c r="E42" s="62">
        <f>'Employee Data'!D43</f>
        <v/>
      </c>
      <c r="F42" s="62">
        <f>IF('Employee Data'!L43&gt;0,'Employee Data'!L43,'Employee Data'!D43*1.05)</f>
        <v/>
      </c>
      <c r="G42" s="71">
        <f>IF(E42&gt;0,ROUND(E42/F42,2),"")</f>
        <v/>
      </c>
      <c r="H42" s="72">
        <f>IF(G42="","",IF(G42&lt;0.9,"Below Market",IF(G42&gt;1.1,"Above Market","At Market")))</f>
        <v/>
      </c>
      <c r="I42" s="73">
        <f>IF(E42&gt;0,RANK(E42,$E$6:$E$105,1)/COUNTA($E$6:$E$105),"")</f>
        <v/>
      </c>
    </row>
    <row r="43">
      <c r="A43" s="66">
        <f>'Employee Data'!A44</f>
        <v/>
      </c>
      <c r="B43" s="66">
        <f>'Employee Data'!G44</f>
        <v/>
      </c>
      <c r="C43" s="66">
        <f>'Employee Data'!F44</f>
        <v/>
      </c>
      <c r="D43" s="66">
        <f>'Employee Data'!E44</f>
        <v/>
      </c>
      <c r="E43" s="67">
        <f>'Employee Data'!D44</f>
        <v/>
      </c>
      <c r="F43" s="67">
        <f>IF('Employee Data'!L44&gt;0,'Employee Data'!L44,'Employee Data'!D44*1.05)</f>
        <v/>
      </c>
      <c r="G43" s="74">
        <f>IF(E43&gt;0,ROUND(E43/F43,2),"")</f>
        <v/>
      </c>
      <c r="H43" s="75">
        <f>IF(G43="","",IF(G43&lt;0.9,"Below Market",IF(G43&gt;1.1,"Above Market","At Market")))</f>
        <v/>
      </c>
      <c r="I43" s="76">
        <f>IF(E43&gt;0,RANK(E43,$E$6:$E$105,1)/COUNTA($E$6:$E$105),"")</f>
        <v/>
      </c>
    </row>
    <row r="44">
      <c r="A44" s="61">
        <f>'Employee Data'!A45</f>
        <v/>
      </c>
      <c r="B44" s="61">
        <f>'Employee Data'!G45</f>
        <v/>
      </c>
      <c r="C44" s="61">
        <f>'Employee Data'!F45</f>
        <v/>
      </c>
      <c r="D44" s="61">
        <f>'Employee Data'!E45</f>
        <v/>
      </c>
      <c r="E44" s="62">
        <f>'Employee Data'!D45</f>
        <v/>
      </c>
      <c r="F44" s="62">
        <f>IF('Employee Data'!L45&gt;0,'Employee Data'!L45,'Employee Data'!D45*1.05)</f>
        <v/>
      </c>
      <c r="G44" s="71">
        <f>IF(E44&gt;0,ROUND(E44/F44,2),"")</f>
        <v/>
      </c>
      <c r="H44" s="72">
        <f>IF(G44="","",IF(G44&lt;0.9,"Below Market",IF(G44&gt;1.1,"Above Market","At Market")))</f>
        <v/>
      </c>
      <c r="I44" s="73">
        <f>IF(E44&gt;0,RANK(E44,$E$6:$E$105,1)/COUNTA($E$6:$E$105),"")</f>
        <v/>
      </c>
    </row>
    <row r="45">
      <c r="A45" s="66">
        <f>'Employee Data'!A46</f>
        <v/>
      </c>
      <c r="B45" s="66">
        <f>'Employee Data'!G46</f>
        <v/>
      </c>
      <c r="C45" s="66">
        <f>'Employee Data'!F46</f>
        <v/>
      </c>
      <c r="D45" s="66">
        <f>'Employee Data'!E46</f>
        <v/>
      </c>
      <c r="E45" s="67">
        <f>'Employee Data'!D46</f>
        <v/>
      </c>
      <c r="F45" s="67">
        <f>IF('Employee Data'!L46&gt;0,'Employee Data'!L46,'Employee Data'!D46*1.05)</f>
        <v/>
      </c>
      <c r="G45" s="74">
        <f>IF(E45&gt;0,ROUND(E45/F45,2),"")</f>
        <v/>
      </c>
      <c r="H45" s="75">
        <f>IF(G45="","",IF(G45&lt;0.9,"Below Market",IF(G45&gt;1.1,"Above Market","At Market")))</f>
        <v/>
      </c>
      <c r="I45" s="76">
        <f>IF(E45&gt;0,RANK(E45,$E$6:$E$105,1)/COUNTA($E$6:$E$105),"")</f>
        <v/>
      </c>
    </row>
    <row r="46">
      <c r="A46" s="61">
        <f>'Employee Data'!A47</f>
        <v/>
      </c>
      <c r="B46" s="61">
        <f>'Employee Data'!G47</f>
        <v/>
      </c>
      <c r="C46" s="61">
        <f>'Employee Data'!F47</f>
        <v/>
      </c>
      <c r="D46" s="61">
        <f>'Employee Data'!E47</f>
        <v/>
      </c>
      <c r="E46" s="62">
        <f>'Employee Data'!D47</f>
        <v/>
      </c>
      <c r="F46" s="62">
        <f>IF('Employee Data'!L47&gt;0,'Employee Data'!L47,'Employee Data'!D47*1.05)</f>
        <v/>
      </c>
      <c r="G46" s="71">
        <f>IF(E46&gt;0,ROUND(E46/F46,2),"")</f>
        <v/>
      </c>
      <c r="H46" s="72">
        <f>IF(G46="","",IF(G46&lt;0.9,"Below Market",IF(G46&gt;1.1,"Above Market","At Market")))</f>
        <v/>
      </c>
      <c r="I46" s="73">
        <f>IF(E46&gt;0,RANK(E46,$E$6:$E$105,1)/COUNTA($E$6:$E$105),"")</f>
        <v/>
      </c>
    </row>
    <row r="47">
      <c r="A47" s="66">
        <f>'Employee Data'!A48</f>
        <v/>
      </c>
      <c r="B47" s="66">
        <f>'Employee Data'!G48</f>
        <v/>
      </c>
      <c r="C47" s="66">
        <f>'Employee Data'!F48</f>
        <v/>
      </c>
      <c r="D47" s="66">
        <f>'Employee Data'!E48</f>
        <v/>
      </c>
      <c r="E47" s="67">
        <f>'Employee Data'!D48</f>
        <v/>
      </c>
      <c r="F47" s="67">
        <f>IF('Employee Data'!L48&gt;0,'Employee Data'!L48,'Employee Data'!D48*1.05)</f>
        <v/>
      </c>
      <c r="G47" s="74">
        <f>IF(E47&gt;0,ROUND(E47/F47,2),"")</f>
        <v/>
      </c>
      <c r="H47" s="75">
        <f>IF(G47="","",IF(G47&lt;0.9,"Below Market",IF(G47&gt;1.1,"Above Market","At Market")))</f>
        <v/>
      </c>
      <c r="I47" s="76">
        <f>IF(E47&gt;0,RANK(E47,$E$6:$E$105,1)/COUNTA($E$6:$E$105),"")</f>
        <v/>
      </c>
    </row>
    <row r="48">
      <c r="A48" s="61">
        <f>'Employee Data'!A49</f>
        <v/>
      </c>
      <c r="B48" s="61">
        <f>'Employee Data'!G49</f>
        <v/>
      </c>
      <c r="C48" s="61">
        <f>'Employee Data'!F49</f>
        <v/>
      </c>
      <c r="D48" s="61">
        <f>'Employee Data'!E49</f>
        <v/>
      </c>
      <c r="E48" s="62">
        <f>'Employee Data'!D49</f>
        <v/>
      </c>
      <c r="F48" s="62">
        <f>IF('Employee Data'!L49&gt;0,'Employee Data'!L49,'Employee Data'!D49*1.05)</f>
        <v/>
      </c>
      <c r="G48" s="71">
        <f>IF(E48&gt;0,ROUND(E48/F48,2),"")</f>
        <v/>
      </c>
      <c r="H48" s="72">
        <f>IF(G48="","",IF(G48&lt;0.9,"Below Market",IF(G48&gt;1.1,"Above Market","At Market")))</f>
        <v/>
      </c>
      <c r="I48" s="73">
        <f>IF(E48&gt;0,RANK(E48,$E$6:$E$105,1)/COUNTA($E$6:$E$105),"")</f>
        <v/>
      </c>
    </row>
    <row r="49">
      <c r="A49" s="66">
        <f>'Employee Data'!A50</f>
        <v/>
      </c>
      <c r="B49" s="66">
        <f>'Employee Data'!G50</f>
        <v/>
      </c>
      <c r="C49" s="66">
        <f>'Employee Data'!F50</f>
        <v/>
      </c>
      <c r="D49" s="66">
        <f>'Employee Data'!E50</f>
        <v/>
      </c>
      <c r="E49" s="67">
        <f>'Employee Data'!D50</f>
        <v/>
      </c>
      <c r="F49" s="67">
        <f>IF('Employee Data'!L50&gt;0,'Employee Data'!L50,'Employee Data'!D50*1.05)</f>
        <v/>
      </c>
      <c r="G49" s="74">
        <f>IF(E49&gt;0,ROUND(E49/F49,2),"")</f>
        <v/>
      </c>
      <c r="H49" s="75">
        <f>IF(G49="","",IF(G49&lt;0.9,"Below Market",IF(G49&gt;1.1,"Above Market","At Market")))</f>
        <v/>
      </c>
      <c r="I49" s="76">
        <f>IF(E49&gt;0,RANK(E49,$E$6:$E$105,1)/COUNTA($E$6:$E$105),"")</f>
        <v/>
      </c>
    </row>
    <row r="50">
      <c r="A50" s="61">
        <f>'Employee Data'!A51</f>
        <v/>
      </c>
      <c r="B50" s="61">
        <f>'Employee Data'!G51</f>
        <v/>
      </c>
      <c r="C50" s="61">
        <f>'Employee Data'!F51</f>
        <v/>
      </c>
      <c r="D50" s="61">
        <f>'Employee Data'!E51</f>
        <v/>
      </c>
      <c r="E50" s="62">
        <f>'Employee Data'!D51</f>
        <v/>
      </c>
      <c r="F50" s="62">
        <f>IF('Employee Data'!L51&gt;0,'Employee Data'!L51,'Employee Data'!D51*1.05)</f>
        <v/>
      </c>
      <c r="G50" s="71">
        <f>IF(E50&gt;0,ROUND(E50/F50,2),"")</f>
        <v/>
      </c>
      <c r="H50" s="72">
        <f>IF(G50="","",IF(G50&lt;0.9,"Below Market",IF(G50&gt;1.1,"Above Market","At Market")))</f>
        <v/>
      </c>
      <c r="I50" s="73">
        <f>IF(E50&gt;0,RANK(E50,$E$6:$E$105,1)/COUNTA($E$6:$E$105),"")</f>
        <v/>
      </c>
    </row>
    <row r="51">
      <c r="A51" s="66">
        <f>'Employee Data'!A52</f>
        <v/>
      </c>
      <c r="B51" s="66">
        <f>'Employee Data'!G52</f>
        <v/>
      </c>
      <c r="C51" s="66">
        <f>'Employee Data'!F52</f>
        <v/>
      </c>
      <c r="D51" s="66">
        <f>'Employee Data'!E52</f>
        <v/>
      </c>
      <c r="E51" s="67">
        <f>'Employee Data'!D52</f>
        <v/>
      </c>
      <c r="F51" s="67">
        <f>IF('Employee Data'!L52&gt;0,'Employee Data'!L52,'Employee Data'!D52*1.05)</f>
        <v/>
      </c>
      <c r="G51" s="74">
        <f>IF(E51&gt;0,ROUND(E51/F51,2),"")</f>
        <v/>
      </c>
      <c r="H51" s="75">
        <f>IF(G51="","",IF(G51&lt;0.9,"Below Market",IF(G51&gt;1.1,"Above Market","At Market")))</f>
        <v/>
      </c>
      <c r="I51" s="76">
        <f>IF(E51&gt;0,RANK(E51,$E$6:$E$105,1)/COUNTA($E$6:$E$105),"")</f>
        <v/>
      </c>
    </row>
    <row r="52">
      <c r="A52" s="61">
        <f>'Employee Data'!A53</f>
        <v/>
      </c>
      <c r="B52" s="61">
        <f>'Employee Data'!G53</f>
        <v/>
      </c>
      <c r="C52" s="61">
        <f>'Employee Data'!F53</f>
        <v/>
      </c>
      <c r="D52" s="61">
        <f>'Employee Data'!E53</f>
        <v/>
      </c>
      <c r="E52" s="62">
        <f>'Employee Data'!D53</f>
        <v/>
      </c>
      <c r="F52" s="62">
        <f>IF('Employee Data'!L53&gt;0,'Employee Data'!L53,'Employee Data'!D53*1.05)</f>
        <v/>
      </c>
      <c r="G52" s="71">
        <f>IF(E52&gt;0,ROUND(E52/F52,2),"")</f>
        <v/>
      </c>
      <c r="H52" s="72">
        <f>IF(G52="","",IF(G52&lt;0.9,"Below Market",IF(G52&gt;1.1,"Above Market","At Market")))</f>
        <v/>
      </c>
      <c r="I52" s="73">
        <f>IF(E52&gt;0,RANK(E52,$E$6:$E$105,1)/COUNTA($E$6:$E$105),"")</f>
        <v/>
      </c>
    </row>
    <row r="53">
      <c r="A53" s="66">
        <f>'Employee Data'!A54</f>
        <v/>
      </c>
      <c r="B53" s="66">
        <f>'Employee Data'!G54</f>
        <v/>
      </c>
      <c r="C53" s="66">
        <f>'Employee Data'!F54</f>
        <v/>
      </c>
      <c r="D53" s="66">
        <f>'Employee Data'!E54</f>
        <v/>
      </c>
      <c r="E53" s="67">
        <f>'Employee Data'!D54</f>
        <v/>
      </c>
      <c r="F53" s="67">
        <f>IF('Employee Data'!L54&gt;0,'Employee Data'!L54,'Employee Data'!D54*1.05)</f>
        <v/>
      </c>
      <c r="G53" s="74">
        <f>IF(E53&gt;0,ROUND(E53/F53,2),"")</f>
        <v/>
      </c>
      <c r="H53" s="75">
        <f>IF(G53="","",IF(G53&lt;0.9,"Below Market",IF(G53&gt;1.1,"Above Market","At Market")))</f>
        <v/>
      </c>
      <c r="I53" s="76">
        <f>IF(E53&gt;0,RANK(E53,$E$6:$E$105,1)/COUNTA($E$6:$E$105),"")</f>
        <v/>
      </c>
    </row>
    <row r="54">
      <c r="A54" s="61">
        <f>'Employee Data'!A55</f>
        <v/>
      </c>
      <c r="B54" s="61">
        <f>'Employee Data'!G55</f>
        <v/>
      </c>
      <c r="C54" s="61">
        <f>'Employee Data'!F55</f>
        <v/>
      </c>
      <c r="D54" s="61">
        <f>'Employee Data'!E55</f>
        <v/>
      </c>
      <c r="E54" s="62">
        <f>'Employee Data'!D55</f>
        <v/>
      </c>
      <c r="F54" s="62">
        <f>IF('Employee Data'!L55&gt;0,'Employee Data'!L55,'Employee Data'!D55*1.05)</f>
        <v/>
      </c>
      <c r="G54" s="71">
        <f>IF(E54&gt;0,ROUND(E54/F54,2),"")</f>
        <v/>
      </c>
      <c r="H54" s="72">
        <f>IF(G54="","",IF(G54&lt;0.9,"Below Market",IF(G54&gt;1.1,"Above Market","At Market")))</f>
        <v/>
      </c>
      <c r="I54" s="73">
        <f>IF(E54&gt;0,RANK(E54,$E$6:$E$105,1)/COUNTA($E$6:$E$105),"")</f>
        <v/>
      </c>
    </row>
    <row r="55">
      <c r="A55" s="66">
        <f>'Employee Data'!A56</f>
        <v/>
      </c>
      <c r="B55" s="66">
        <f>'Employee Data'!G56</f>
        <v/>
      </c>
      <c r="C55" s="66">
        <f>'Employee Data'!F56</f>
        <v/>
      </c>
      <c r="D55" s="66">
        <f>'Employee Data'!E56</f>
        <v/>
      </c>
      <c r="E55" s="67">
        <f>'Employee Data'!D56</f>
        <v/>
      </c>
      <c r="F55" s="67">
        <f>IF('Employee Data'!L56&gt;0,'Employee Data'!L56,'Employee Data'!D56*1.05)</f>
        <v/>
      </c>
      <c r="G55" s="74">
        <f>IF(E55&gt;0,ROUND(E55/F55,2),"")</f>
        <v/>
      </c>
      <c r="H55" s="75">
        <f>IF(G55="","",IF(G55&lt;0.9,"Below Market",IF(G55&gt;1.1,"Above Market","At Market")))</f>
        <v/>
      </c>
      <c r="I55" s="76">
        <f>IF(E55&gt;0,RANK(E55,$E$6:$E$105,1)/COUNTA($E$6:$E$105),"")</f>
        <v/>
      </c>
    </row>
    <row r="56">
      <c r="A56" s="61">
        <f>'Employee Data'!A57</f>
        <v/>
      </c>
      <c r="B56" s="61">
        <f>'Employee Data'!G57</f>
        <v/>
      </c>
      <c r="C56" s="61">
        <f>'Employee Data'!F57</f>
        <v/>
      </c>
      <c r="D56" s="61">
        <f>'Employee Data'!E57</f>
        <v/>
      </c>
      <c r="E56" s="62">
        <f>'Employee Data'!D57</f>
        <v/>
      </c>
      <c r="F56" s="62">
        <f>IF('Employee Data'!L57&gt;0,'Employee Data'!L57,'Employee Data'!D57*1.05)</f>
        <v/>
      </c>
      <c r="G56" s="71">
        <f>IF(E56&gt;0,ROUND(E56/F56,2),"")</f>
        <v/>
      </c>
      <c r="H56" s="72">
        <f>IF(G56="","",IF(G56&lt;0.9,"Below Market",IF(G56&gt;1.1,"Above Market","At Market")))</f>
        <v/>
      </c>
      <c r="I56" s="73">
        <f>IF(E56&gt;0,RANK(E56,$E$6:$E$105,1)/COUNTA($E$6:$E$105),"")</f>
        <v/>
      </c>
    </row>
    <row r="57">
      <c r="A57" s="66">
        <f>'Employee Data'!A58</f>
        <v/>
      </c>
      <c r="B57" s="66">
        <f>'Employee Data'!G58</f>
        <v/>
      </c>
      <c r="C57" s="66">
        <f>'Employee Data'!F58</f>
        <v/>
      </c>
      <c r="D57" s="66">
        <f>'Employee Data'!E58</f>
        <v/>
      </c>
      <c r="E57" s="67">
        <f>'Employee Data'!D58</f>
        <v/>
      </c>
      <c r="F57" s="67">
        <f>IF('Employee Data'!L58&gt;0,'Employee Data'!L58,'Employee Data'!D58*1.05)</f>
        <v/>
      </c>
      <c r="G57" s="74">
        <f>IF(E57&gt;0,ROUND(E57/F57,2),"")</f>
        <v/>
      </c>
      <c r="H57" s="75">
        <f>IF(G57="","",IF(G57&lt;0.9,"Below Market",IF(G57&gt;1.1,"Above Market","At Market")))</f>
        <v/>
      </c>
      <c r="I57" s="76">
        <f>IF(E57&gt;0,RANK(E57,$E$6:$E$105,1)/COUNTA($E$6:$E$105),"")</f>
        <v/>
      </c>
    </row>
    <row r="58">
      <c r="A58" s="61">
        <f>'Employee Data'!A59</f>
        <v/>
      </c>
      <c r="B58" s="61">
        <f>'Employee Data'!G59</f>
        <v/>
      </c>
      <c r="C58" s="61">
        <f>'Employee Data'!F59</f>
        <v/>
      </c>
      <c r="D58" s="61">
        <f>'Employee Data'!E59</f>
        <v/>
      </c>
      <c r="E58" s="62">
        <f>'Employee Data'!D59</f>
        <v/>
      </c>
      <c r="F58" s="62">
        <f>IF('Employee Data'!L59&gt;0,'Employee Data'!L59,'Employee Data'!D59*1.05)</f>
        <v/>
      </c>
      <c r="G58" s="71">
        <f>IF(E58&gt;0,ROUND(E58/F58,2),"")</f>
        <v/>
      </c>
      <c r="H58" s="72">
        <f>IF(G58="","",IF(G58&lt;0.9,"Below Market",IF(G58&gt;1.1,"Above Market","At Market")))</f>
        <v/>
      </c>
      <c r="I58" s="73">
        <f>IF(E58&gt;0,RANK(E58,$E$6:$E$105,1)/COUNTA($E$6:$E$105),"")</f>
        <v/>
      </c>
    </row>
    <row r="59">
      <c r="A59" s="66">
        <f>'Employee Data'!A60</f>
        <v/>
      </c>
      <c r="B59" s="66">
        <f>'Employee Data'!G60</f>
        <v/>
      </c>
      <c r="C59" s="66">
        <f>'Employee Data'!F60</f>
        <v/>
      </c>
      <c r="D59" s="66">
        <f>'Employee Data'!E60</f>
        <v/>
      </c>
      <c r="E59" s="67">
        <f>'Employee Data'!D60</f>
        <v/>
      </c>
      <c r="F59" s="67">
        <f>IF('Employee Data'!L60&gt;0,'Employee Data'!L60,'Employee Data'!D60*1.05)</f>
        <v/>
      </c>
      <c r="G59" s="74">
        <f>IF(E59&gt;0,ROUND(E59/F59,2),"")</f>
        <v/>
      </c>
      <c r="H59" s="75">
        <f>IF(G59="","",IF(G59&lt;0.9,"Below Market",IF(G59&gt;1.1,"Above Market","At Market")))</f>
        <v/>
      </c>
      <c r="I59" s="76">
        <f>IF(E59&gt;0,RANK(E59,$E$6:$E$105,1)/COUNTA($E$6:$E$105),"")</f>
        <v/>
      </c>
    </row>
    <row r="60">
      <c r="A60" s="61">
        <f>'Employee Data'!A61</f>
        <v/>
      </c>
      <c r="B60" s="61">
        <f>'Employee Data'!G61</f>
        <v/>
      </c>
      <c r="C60" s="61">
        <f>'Employee Data'!F61</f>
        <v/>
      </c>
      <c r="D60" s="61">
        <f>'Employee Data'!E61</f>
        <v/>
      </c>
      <c r="E60" s="62">
        <f>'Employee Data'!D61</f>
        <v/>
      </c>
      <c r="F60" s="62">
        <f>IF('Employee Data'!L61&gt;0,'Employee Data'!L61,'Employee Data'!D61*1.05)</f>
        <v/>
      </c>
      <c r="G60" s="71">
        <f>IF(E60&gt;0,ROUND(E60/F60,2),"")</f>
        <v/>
      </c>
      <c r="H60" s="72">
        <f>IF(G60="","",IF(G60&lt;0.9,"Below Market",IF(G60&gt;1.1,"Above Market","At Market")))</f>
        <v/>
      </c>
      <c r="I60" s="73">
        <f>IF(E60&gt;0,RANK(E60,$E$6:$E$105,1)/COUNTA($E$6:$E$105),"")</f>
        <v/>
      </c>
    </row>
    <row r="61">
      <c r="A61" s="66">
        <f>'Employee Data'!A62</f>
        <v/>
      </c>
      <c r="B61" s="66">
        <f>'Employee Data'!G62</f>
        <v/>
      </c>
      <c r="C61" s="66">
        <f>'Employee Data'!F62</f>
        <v/>
      </c>
      <c r="D61" s="66">
        <f>'Employee Data'!E62</f>
        <v/>
      </c>
      <c r="E61" s="67">
        <f>'Employee Data'!D62</f>
        <v/>
      </c>
      <c r="F61" s="67">
        <f>IF('Employee Data'!L62&gt;0,'Employee Data'!L62,'Employee Data'!D62*1.05)</f>
        <v/>
      </c>
      <c r="G61" s="74">
        <f>IF(E61&gt;0,ROUND(E61/F61,2),"")</f>
        <v/>
      </c>
      <c r="H61" s="75">
        <f>IF(G61="","",IF(G61&lt;0.9,"Below Market",IF(G61&gt;1.1,"Above Market","At Market")))</f>
        <v/>
      </c>
      <c r="I61" s="76">
        <f>IF(E61&gt;0,RANK(E61,$E$6:$E$105,1)/COUNTA($E$6:$E$105),"")</f>
        <v/>
      </c>
    </row>
    <row r="62">
      <c r="A62" s="61">
        <f>'Employee Data'!A63</f>
        <v/>
      </c>
      <c r="B62" s="61">
        <f>'Employee Data'!G63</f>
        <v/>
      </c>
      <c r="C62" s="61">
        <f>'Employee Data'!F63</f>
        <v/>
      </c>
      <c r="D62" s="61">
        <f>'Employee Data'!E63</f>
        <v/>
      </c>
      <c r="E62" s="62">
        <f>'Employee Data'!D63</f>
        <v/>
      </c>
      <c r="F62" s="62">
        <f>IF('Employee Data'!L63&gt;0,'Employee Data'!L63,'Employee Data'!D63*1.05)</f>
        <v/>
      </c>
      <c r="G62" s="71">
        <f>IF(E62&gt;0,ROUND(E62/F62,2),"")</f>
        <v/>
      </c>
      <c r="H62" s="72">
        <f>IF(G62="","",IF(G62&lt;0.9,"Below Market",IF(G62&gt;1.1,"Above Market","At Market")))</f>
        <v/>
      </c>
      <c r="I62" s="73">
        <f>IF(E62&gt;0,RANK(E62,$E$6:$E$105,1)/COUNTA($E$6:$E$105),"")</f>
        <v/>
      </c>
    </row>
    <row r="63">
      <c r="A63" s="66">
        <f>'Employee Data'!A64</f>
        <v/>
      </c>
      <c r="B63" s="66">
        <f>'Employee Data'!G64</f>
        <v/>
      </c>
      <c r="C63" s="66">
        <f>'Employee Data'!F64</f>
        <v/>
      </c>
      <c r="D63" s="66">
        <f>'Employee Data'!E64</f>
        <v/>
      </c>
      <c r="E63" s="67">
        <f>'Employee Data'!D64</f>
        <v/>
      </c>
      <c r="F63" s="67">
        <f>IF('Employee Data'!L64&gt;0,'Employee Data'!L64,'Employee Data'!D64*1.05)</f>
        <v/>
      </c>
      <c r="G63" s="74">
        <f>IF(E63&gt;0,ROUND(E63/F63,2),"")</f>
        <v/>
      </c>
      <c r="H63" s="75">
        <f>IF(G63="","",IF(G63&lt;0.9,"Below Market",IF(G63&gt;1.1,"Above Market","At Market")))</f>
        <v/>
      </c>
      <c r="I63" s="76">
        <f>IF(E63&gt;0,RANK(E63,$E$6:$E$105,1)/COUNTA($E$6:$E$105),"")</f>
        <v/>
      </c>
    </row>
    <row r="64">
      <c r="A64" s="61">
        <f>'Employee Data'!A65</f>
        <v/>
      </c>
      <c r="B64" s="61">
        <f>'Employee Data'!G65</f>
        <v/>
      </c>
      <c r="C64" s="61">
        <f>'Employee Data'!F65</f>
        <v/>
      </c>
      <c r="D64" s="61">
        <f>'Employee Data'!E65</f>
        <v/>
      </c>
      <c r="E64" s="62">
        <f>'Employee Data'!D65</f>
        <v/>
      </c>
      <c r="F64" s="62">
        <f>IF('Employee Data'!L65&gt;0,'Employee Data'!L65,'Employee Data'!D65*1.05)</f>
        <v/>
      </c>
      <c r="G64" s="71">
        <f>IF(E64&gt;0,ROUND(E64/F64,2),"")</f>
        <v/>
      </c>
      <c r="H64" s="72">
        <f>IF(G64="","",IF(G64&lt;0.9,"Below Market",IF(G64&gt;1.1,"Above Market","At Market")))</f>
        <v/>
      </c>
      <c r="I64" s="73">
        <f>IF(E64&gt;0,RANK(E64,$E$6:$E$105,1)/COUNTA($E$6:$E$105),"")</f>
        <v/>
      </c>
    </row>
    <row r="65">
      <c r="A65" s="66">
        <f>'Employee Data'!A66</f>
        <v/>
      </c>
      <c r="B65" s="66">
        <f>'Employee Data'!G66</f>
        <v/>
      </c>
      <c r="C65" s="66">
        <f>'Employee Data'!F66</f>
        <v/>
      </c>
      <c r="D65" s="66">
        <f>'Employee Data'!E66</f>
        <v/>
      </c>
      <c r="E65" s="67">
        <f>'Employee Data'!D66</f>
        <v/>
      </c>
      <c r="F65" s="67">
        <f>IF('Employee Data'!L66&gt;0,'Employee Data'!L66,'Employee Data'!D66*1.05)</f>
        <v/>
      </c>
      <c r="G65" s="74">
        <f>IF(E65&gt;0,ROUND(E65/F65,2),"")</f>
        <v/>
      </c>
      <c r="H65" s="75">
        <f>IF(G65="","",IF(G65&lt;0.9,"Below Market",IF(G65&gt;1.1,"Above Market","At Market")))</f>
        <v/>
      </c>
      <c r="I65" s="76">
        <f>IF(E65&gt;0,RANK(E65,$E$6:$E$105,1)/COUNTA($E$6:$E$105),"")</f>
        <v/>
      </c>
    </row>
    <row r="66">
      <c r="A66" s="61">
        <f>'Employee Data'!A67</f>
        <v/>
      </c>
      <c r="B66" s="61">
        <f>'Employee Data'!G67</f>
        <v/>
      </c>
      <c r="C66" s="61">
        <f>'Employee Data'!F67</f>
        <v/>
      </c>
      <c r="D66" s="61">
        <f>'Employee Data'!E67</f>
        <v/>
      </c>
      <c r="E66" s="62">
        <f>'Employee Data'!D67</f>
        <v/>
      </c>
      <c r="F66" s="62">
        <f>IF('Employee Data'!L67&gt;0,'Employee Data'!L67,'Employee Data'!D67*1.05)</f>
        <v/>
      </c>
      <c r="G66" s="71">
        <f>IF(E66&gt;0,ROUND(E66/F66,2),"")</f>
        <v/>
      </c>
      <c r="H66" s="72">
        <f>IF(G66="","",IF(G66&lt;0.9,"Below Market",IF(G66&gt;1.1,"Above Market","At Market")))</f>
        <v/>
      </c>
      <c r="I66" s="73">
        <f>IF(E66&gt;0,RANK(E66,$E$6:$E$105,1)/COUNTA($E$6:$E$105),"")</f>
        <v/>
      </c>
    </row>
    <row r="67">
      <c r="A67" s="66">
        <f>'Employee Data'!A68</f>
        <v/>
      </c>
      <c r="B67" s="66">
        <f>'Employee Data'!G68</f>
        <v/>
      </c>
      <c r="C67" s="66">
        <f>'Employee Data'!F68</f>
        <v/>
      </c>
      <c r="D67" s="66">
        <f>'Employee Data'!E68</f>
        <v/>
      </c>
      <c r="E67" s="67">
        <f>'Employee Data'!D68</f>
        <v/>
      </c>
      <c r="F67" s="67">
        <f>IF('Employee Data'!L68&gt;0,'Employee Data'!L68,'Employee Data'!D68*1.05)</f>
        <v/>
      </c>
      <c r="G67" s="74">
        <f>IF(E67&gt;0,ROUND(E67/F67,2),"")</f>
        <v/>
      </c>
      <c r="H67" s="75">
        <f>IF(G67="","",IF(G67&lt;0.9,"Below Market",IF(G67&gt;1.1,"Above Market","At Market")))</f>
        <v/>
      </c>
      <c r="I67" s="76">
        <f>IF(E67&gt;0,RANK(E67,$E$6:$E$105,1)/COUNTA($E$6:$E$105),"")</f>
        <v/>
      </c>
    </row>
    <row r="68">
      <c r="A68" s="61">
        <f>'Employee Data'!A69</f>
        <v/>
      </c>
      <c r="B68" s="61">
        <f>'Employee Data'!G69</f>
        <v/>
      </c>
      <c r="C68" s="61">
        <f>'Employee Data'!F69</f>
        <v/>
      </c>
      <c r="D68" s="61">
        <f>'Employee Data'!E69</f>
        <v/>
      </c>
      <c r="E68" s="62">
        <f>'Employee Data'!D69</f>
        <v/>
      </c>
      <c r="F68" s="62">
        <f>IF('Employee Data'!L69&gt;0,'Employee Data'!L69,'Employee Data'!D69*1.05)</f>
        <v/>
      </c>
      <c r="G68" s="71">
        <f>IF(E68&gt;0,ROUND(E68/F68,2),"")</f>
        <v/>
      </c>
      <c r="H68" s="72">
        <f>IF(G68="","",IF(G68&lt;0.9,"Below Market",IF(G68&gt;1.1,"Above Market","At Market")))</f>
        <v/>
      </c>
      <c r="I68" s="73">
        <f>IF(E68&gt;0,RANK(E68,$E$6:$E$105,1)/COUNTA($E$6:$E$105),"")</f>
        <v/>
      </c>
    </row>
    <row r="69">
      <c r="A69" s="66">
        <f>'Employee Data'!A70</f>
        <v/>
      </c>
      <c r="B69" s="66">
        <f>'Employee Data'!G70</f>
        <v/>
      </c>
      <c r="C69" s="66">
        <f>'Employee Data'!F70</f>
        <v/>
      </c>
      <c r="D69" s="66">
        <f>'Employee Data'!E70</f>
        <v/>
      </c>
      <c r="E69" s="67">
        <f>'Employee Data'!D70</f>
        <v/>
      </c>
      <c r="F69" s="67">
        <f>IF('Employee Data'!L70&gt;0,'Employee Data'!L70,'Employee Data'!D70*1.05)</f>
        <v/>
      </c>
      <c r="G69" s="74">
        <f>IF(E69&gt;0,ROUND(E69/F69,2),"")</f>
        <v/>
      </c>
      <c r="H69" s="75">
        <f>IF(G69="","",IF(G69&lt;0.9,"Below Market",IF(G69&gt;1.1,"Above Market","At Market")))</f>
        <v/>
      </c>
      <c r="I69" s="76">
        <f>IF(E69&gt;0,RANK(E69,$E$6:$E$105,1)/COUNTA($E$6:$E$105),"")</f>
        <v/>
      </c>
    </row>
    <row r="70">
      <c r="A70" s="61">
        <f>'Employee Data'!A71</f>
        <v/>
      </c>
      <c r="B70" s="61">
        <f>'Employee Data'!G71</f>
        <v/>
      </c>
      <c r="C70" s="61">
        <f>'Employee Data'!F71</f>
        <v/>
      </c>
      <c r="D70" s="61">
        <f>'Employee Data'!E71</f>
        <v/>
      </c>
      <c r="E70" s="62">
        <f>'Employee Data'!D71</f>
        <v/>
      </c>
      <c r="F70" s="62">
        <f>IF('Employee Data'!L71&gt;0,'Employee Data'!L71,'Employee Data'!D71*1.05)</f>
        <v/>
      </c>
      <c r="G70" s="71">
        <f>IF(E70&gt;0,ROUND(E70/F70,2),"")</f>
        <v/>
      </c>
      <c r="H70" s="72">
        <f>IF(G70="","",IF(G70&lt;0.9,"Below Market",IF(G70&gt;1.1,"Above Market","At Market")))</f>
        <v/>
      </c>
      <c r="I70" s="73">
        <f>IF(E70&gt;0,RANK(E70,$E$6:$E$105,1)/COUNTA($E$6:$E$105),"")</f>
        <v/>
      </c>
    </row>
    <row r="71">
      <c r="A71" s="66">
        <f>'Employee Data'!A72</f>
        <v/>
      </c>
      <c r="B71" s="66">
        <f>'Employee Data'!G72</f>
        <v/>
      </c>
      <c r="C71" s="66">
        <f>'Employee Data'!F72</f>
        <v/>
      </c>
      <c r="D71" s="66">
        <f>'Employee Data'!E72</f>
        <v/>
      </c>
      <c r="E71" s="67">
        <f>'Employee Data'!D72</f>
        <v/>
      </c>
      <c r="F71" s="67">
        <f>IF('Employee Data'!L72&gt;0,'Employee Data'!L72,'Employee Data'!D72*1.05)</f>
        <v/>
      </c>
      <c r="G71" s="74">
        <f>IF(E71&gt;0,ROUND(E71/F71,2),"")</f>
        <v/>
      </c>
      <c r="H71" s="75">
        <f>IF(G71="","",IF(G71&lt;0.9,"Below Market",IF(G71&gt;1.1,"Above Market","At Market")))</f>
        <v/>
      </c>
      <c r="I71" s="76">
        <f>IF(E71&gt;0,RANK(E71,$E$6:$E$105,1)/COUNTA($E$6:$E$105),"")</f>
        <v/>
      </c>
    </row>
    <row r="72">
      <c r="A72" s="61">
        <f>'Employee Data'!A73</f>
        <v/>
      </c>
      <c r="B72" s="61">
        <f>'Employee Data'!G73</f>
        <v/>
      </c>
      <c r="C72" s="61">
        <f>'Employee Data'!F73</f>
        <v/>
      </c>
      <c r="D72" s="61">
        <f>'Employee Data'!E73</f>
        <v/>
      </c>
      <c r="E72" s="62">
        <f>'Employee Data'!D73</f>
        <v/>
      </c>
      <c r="F72" s="62">
        <f>IF('Employee Data'!L73&gt;0,'Employee Data'!L73,'Employee Data'!D73*1.05)</f>
        <v/>
      </c>
      <c r="G72" s="71">
        <f>IF(E72&gt;0,ROUND(E72/F72,2),"")</f>
        <v/>
      </c>
      <c r="H72" s="72">
        <f>IF(G72="","",IF(G72&lt;0.9,"Below Market",IF(G72&gt;1.1,"Above Market","At Market")))</f>
        <v/>
      </c>
      <c r="I72" s="73">
        <f>IF(E72&gt;0,RANK(E72,$E$6:$E$105,1)/COUNTA($E$6:$E$105),"")</f>
        <v/>
      </c>
    </row>
    <row r="73">
      <c r="A73" s="66">
        <f>'Employee Data'!A74</f>
        <v/>
      </c>
      <c r="B73" s="66">
        <f>'Employee Data'!G74</f>
        <v/>
      </c>
      <c r="C73" s="66">
        <f>'Employee Data'!F74</f>
        <v/>
      </c>
      <c r="D73" s="66">
        <f>'Employee Data'!E74</f>
        <v/>
      </c>
      <c r="E73" s="67">
        <f>'Employee Data'!D74</f>
        <v/>
      </c>
      <c r="F73" s="67">
        <f>IF('Employee Data'!L74&gt;0,'Employee Data'!L74,'Employee Data'!D74*1.05)</f>
        <v/>
      </c>
      <c r="G73" s="74">
        <f>IF(E73&gt;0,ROUND(E73/F73,2),"")</f>
        <v/>
      </c>
      <c r="H73" s="75">
        <f>IF(G73="","",IF(G73&lt;0.9,"Below Market",IF(G73&gt;1.1,"Above Market","At Market")))</f>
        <v/>
      </c>
      <c r="I73" s="76">
        <f>IF(E73&gt;0,RANK(E73,$E$6:$E$105,1)/COUNTA($E$6:$E$105),"")</f>
        <v/>
      </c>
    </row>
    <row r="74">
      <c r="A74" s="61">
        <f>'Employee Data'!A75</f>
        <v/>
      </c>
      <c r="B74" s="61">
        <f>'Employee Data'!G75</f>
        <v/>
      </c>
      <c r="C74" s="61">
        <f>'Employee Data'!F75</f>
        <v/>
      </c>
      <c r="D74" s="61">
        <f>'Employee Data'!E75</f>
        <v/>
      </c>
      <c r="E74" s="62">
        <f>'Employee Data'!D75</f>
        <v/>
      </c>
      <c r="F74" s="62">
        <f>IF('Employee Data'!L75&gt;0,'Employee Data'!L75,'Employee Data'!D75*1.05)</f>
        <v/>
      </c>
      <c r="G74" s="71">
        <f>IF(E74&gt;0,ROUND(E74/F74,2),"")</f>
        <v/>
      </c>
      <c r="H74" s="72">
        <f>IF(G74="","",IF(G74&lt;0.9,"Below Market",IF(G74&gt;1.1,"Above Market","At Market")))</f>
        <v/>
      </c>
      <c r="I74" s="73">
        <f>IF(E74&gt;0,RANK(E74,$E$6:$E$105,1)/COUNTA($E$6:$E$105),"")</f>
        <v/>
      </c>
    </row>
    <row r="75">
      <c r="A75" s="66">
        <f>'Employee Data'!A76</f>
        <v/>
      </c>
      <c r="B75" s="66">
        <f>'Employee Data'!G76</f>
        <v/>
      </c>
      <c r="C75" s="66">
        <f>'Employee Data'!F76</f>
        <v/>
      </c>
      <c r="D75" s="66">
        <f>'Employee Data'!E76</f>
        <v/>
      </c>
      <c r="E75" s="67">
        <f>'Employee Data'!D76</f>
        <v/>
      </c>
      <c r="F75" s="67">
        <f>IF('Employee Data'!L76&gt;0,'Employee Data'!L76,'Employee Data'!D76*1.05)</f>
        <v/>
      </c>
      <c r="G75" s="74">
        <f>IF(E75&gt;0,ROUND(E75/F75,2),"")</f>
        <v/>
      </c>
      <c r="H75" s="75">
        <f>IF(G75="","",IF(G75&lt;0.9,"Below Market",IF(G75&gt;1.1,"Above Market","At Market")))</f>
        <v/>
      </c>
      <c r="I75" s="76">
        <f>IF(E75&gt;0,RANK(E75,$E$6:$E$105,1)/COUNTA($E$6:$E$105),"")</f>
        <v/>
      </c>
    </row>
    <row r="76">
      <c r="A76" s="61">
        <f>'Employee Data'!A77</f>
        <v/>
      </c>
      <c r="B76" s="61">
        <f>'Employee Data'!G77</f>
        <v/>
      </c>
      <c r="C76" s="61">
        <f>'Employee Data'!F77</f>
        <v/>
      </c>
      <c r="D76" s="61">
        <f>'Employee Data'!E77</f>
        <v/>
      </c>
      <c r="E76" s="62">
        <f>'Employee Data'!D77</f>
        <v/>
      </c>
      <c r="F76" s="62">
        <f>IF('Employee Data'!L77&gt;0,'Employee Data'!L77,'Employee Data'!D77*1.05)</f>
        <v/>
      </c>
      <c r="G76" s="71">
        <f>IF(E76&gt;0,ROUND(E76/F76,2),"")</f>
        <v/>
      </c>
      <c r="H76" s="72">
        <f>IF(G76="","",IF(G76&lt;0.9,"Below Market",IF(G76&gt;1.1,"Above Market","At Market")))</f>
        <v/>
      </c>
      <c r="I76" s="73">
        <f>IF(E76&gt;0,RANK(E76,$E$6:$E$105,1)/COUNTA($E$6:$E$105),"")</f>
        <v/>
      </c>
    </row>
    <row r="77">
      <c r="A77" s="66">
        <f>'Employee Data'!A78</f>
        <v/>
      </c>
      <c r="B77" s="66">
        <f>'Employee Data'!G78</f>
        <v/>
      </c>
      <c r="C77" s="66">
        <f>'Employee Data'!F78</f>
        <v/>
      </c>
      <c r="D77" s="66">
        <f>'Employee Data'!E78</f>
        <v/>
      </c>
      <c r="E77" s="67">
        <f>'Employee Data'!D78</f>
        <v/>
      </c>
      <c r="F77" s="67">
        <f>IF('Employee Data'!L78&gt;0,'Employee Data'!L78,'Employee Data'!D78*1.05)</f>
        <v/>
      </c>
      <c r="G77" s="74">
        <f>IF(E77&gt;0,ROUND(E77/F77,2),"")</f>
        <v/>
      </c>
      <c r="H77" s="75">
        <f>IF(G77="","",IF(G77&lt;0.9,"Below Market",IF(G77&gt;1.1,"Above Market","At Market")))</f>
        <v/>
      </c>
      <c r="I77" s="76">
        <f>IF(E77&gt;0,RANK(E77,$E$6:$E$105,1)/COUNTA($E$6:$E$105),"")</f>
        <v/>
      </c>
    </row>
    <row r="78">
      <c r="A78" s="61">
        <f>'Employee Data'!A79</f>
        <v/>
      </c>
      <c r="B78" s="61">
        <f>'Employee Data'!G79</f>
        <v/>
      </c>
      <c r="C78" s="61">
        <f>'Employee Data'!F79</f>
        <v/>
      </c>
      <c r="D78" s="61">
        <f>'Employee Data'!E79</f>
        <v/>
      </c>
      <c r="E78" s="62">
        <f>'Employee Data'!D79</f>
        <v/>
      </c>
      <c r="F78" s="62">
        <f>IF('Employee Data'!L79&gt;0,'Employee Data'!L79,'Employee Data'!D79*1.05)</f>
        <v/>
      </c>
      <c r="G78" s="71">
        <f>IF(E78&gt;0,ROUND(E78/F78,2),"")</f>
        <v/>
      </c>
      <c r="H78" s="72">
        <f>IF(G78="","",IF(G78&lt;0.9,"Below Market",IF(G78&gt;1.1,"Above Market","At Market")))</f>
        <v/>
      </c>
      <c r="I78" s="73">
        <f>IF(E78&gt;0,RANK(E78,$E$6:$E$105,1)/COUNTA($E$6:$E$105),"")</f>
        <v/>
      </c>
    </row>
    <row r="79">
      <c r="A79" s="66">
        <f>'Employee Data'!A80</f>
        <v/>
      </c>
      <c r="B79" s="66">
        <f>'Employee Data'!G80</f>
        <v/>
      </c>
      <c r="C79" s="66">
        <f>'Employee Data'!F80</f>
        <v/>
      </c>
      <c r="D79" s="66">
        <f>'Employee Data'!E80</f>
        <v/>
      </c>
      <c r="E79" s="67">
        <f>'Employee Data'!D80</f>
        <v/>
      </c>
      <c r="F79" s="67">
        <f>IF('Employee Data'!L80&gt;0,'Employee Data'!L80,'Employee Data'!D80*1.05)</f>
        <v/>
      </c>
      <c r="G79" s="74">
        <f>IF(E79&gt;0,ROUND(E79/F79,2),"")</f>
        <v/>
      </c>
      <c r="H79" s="75">
        <f>IF(G79="","",IF(G79&lt;0.9,"Below Market",IF(G79&gt;1.1,"Above Market","At Market")))</f>
        <v/>
      </c>
      <c r="I79" s="76">
        <f>IF(E79&gt;0,RANK(E79,$E$6:$E$105,1)/COUNTA($E$6:$E$105),"")</f>
        <v/>
      </c>
    </row>
    <row r="80">
      <c r="A80" s="61">
        <f>'Employee Data'!A81</f>
        <v/>
      </c>
      <c r="B80" s="61">
        <f>'Employee Data'!G81</f>
        <v/>
      </c>
      <c r="C80" s="61">
        <f>'Employee Data'!F81</f>
        <v/>
      </c>
      <c r="D80" s="61">
        <f>'Employee Data'!E81</f>
        <v/>
      </c>
      <c r="E80" s="62">
        <f>'Employee Data'!D81</f>
        <v/>
      </c>
      <c r="F80" s="62">
        <f>IF('Employee Data'!L81&gt;0,'Employee Data'!L81,'Employee Data'!D81*1.05)</f>
        <v/>
      </c>
      <c r="G80" s="71">
        <f>IF(E80&gt;0,ROUND(E80/F80,2),"")</f>
        <v/>
      </c>
      <c r="H80" s="72">
        <f>IF(G80="","",IF(G80&lt;0.9,"Below Market",IF(G80&gt;1.1,"Above Market","At Market")))</f>
        <v/>
      </c>
      <c r="I80" s="73">
        <f>IF(E80&gt;0,RANK(E80,$E$6:$E$105,1)/COUNTA($E$6:$E$105),"")</f>
        <v/>
      </c>
    </row>
    <row r="81">
      <c r="A81" s="66">
        <f>'Employee Data'!A82</f>
        <v/>
      </c>
      <c r="B81" s="66">
        <f>'Employee Data'!G82</f>
        <v/>
      </c>
      <c r="C81" s="66">
        <f>'Employee Data'!F82</f>
        <v/>
      </c>
      <c r="D81" s="66">
        <f>'Employee Data'!E82</f>
        <v/>
      </c>
      <c r="E81" s="67">
        <f>'Employee Data'!D82</f>
        <v/>
      </c>
      <c r="F81" s="67">
        <f>IF('Employee Data'!L82&gt;0,'Employee Data'!L82,'Employee Data'!D82*1.05)</f>
        <v/>
      </c>
      <c r="G81" s="74">
        <f>IF(E81&gt;0,ROUND(E81/F81,2),"")</f>
        <v/>
      </c>
      <c r="H81" s="75">
        <f>IF(G81="","",IF(G81&lt;0.9,"Below Market",IF(G81&gt;1.1,"Above Market","At Market")))</f>
        <v/>
      </c>
      <c r="I81" s="76">
        <f>IF(E81&gt;0,RANK(E81,$E$6:$E$105,1)/COUNTA($E$6:$E$105),"")</f>
        <v/>
      </c>
    </row>
    <row r="82">
      <c r="A82" s="61">
        <f>'Employee Data'!A83</f>
        <v/>
      </c>
      <c r="B82" s="61">
        <f>'Employee Data'!G83</f>
        <v/>
      </c>
      <c r="C82" s="61">
        <f>'Employee Data'!F83</f>
        <v/>
      </c>
      <c r="D82" s="61">
        <f>'Employee Data'!E83</f>
        <v/>
      </c>
      <c r="E82" s="62">
        <f>'Employee Data'!D83</f>
        <v/>
      </c>
      <c r="F82" s="62">
        <f>IF('Employee Data'!L83&gt;0,'Employee Data'!L83,'Employee Data'!D83*1.05)</f>
        <v/>
      </c>
      <c r="G82" s="71">
        <f>IF(E82&gt;0,ROUND(E82/F82,2),"")</f>
        <v/>
      </c>
      <c r="H82" s="72">
        <f>IF(G82="","",IF(G82&lt;0.9,"Below Market",IF(G82&gt;1.1,"Above Market","At Market")))</f>
        <v/>
      </c>
      <c r="I82" s="73">
        <f>IF(E82&gt;0,RANK(E82,$E$6:$E$105,1)/COUNTA($E$6:$E$105),"")</f>
        <v/>
      </c>
    </row>
    <row r="83">
      <c r="A83" s="66">
        <f>'Employee Data'!A84</f>
        <v/>
      </c>
      <c r="B83" s="66">
        <f>'Employee Data'!G84</f>
        <v/>
      </c>
      <c r="C83" s="66">
        <f>'Employee Data'!F84</f>
        <v/>
      </c>
      <c r="D83" s="66">
        <f>'Employee Data'!E84</f>
        <v/>
      </c>
      <c r="E83" s="67">
        <f>'Employee Data'!D84</f>
        <v/>
      </c>
      <c r="F83" s="67">
        <f>IF('Employee Data'!L84&gt;0,'Employee Data'!L84,'Employee Data'!D84*1.05)</f>
        <v/>
      </c>
      <c r="G83" s="74">
        <f>IF(E83&gt;0,ROUND(E83/F83,2),"")</f>
        <v/>
      </c>
      <c r="H83" s="75">
        <f>IF(G83="","",IF(G83&lt;0.9,"Below Market",IF(G83&gt;1.1,"Above Market","At Market")))</f>
        <v/>
      </c>
      <c r="I83" s="76">
        <f>IF(E83&gt;0,RANK(E83,$E$6:$E$105,1)/COUNTA($E$6:$E$105),"")</f>
        <v/>
      </c>
    </row>
    <row r="84">
      <c r="A84" s="61">
        <f>'Employee Data'!A85</f>
        <v/>
      </c>
      <c r="B84" s="61">
        <f>'Employee Data'!G85</f>
        <v/>
      </c>
      <c r="C84" s="61">
        <f>'Employee Data'!F85</f>
        <v/>
      </c>
      <c r="D84" s="61">
        <f>'Employee Data'!E85</f>
        <v/>
      </c>
      <c r="E84" s="62">
        <f>'Employee Data'!D85</f>
        <v/>
      </c>
      <c r="F84" s="62">
        <f>IF('Employee Data'!L85&gt;0,'Employee Data'!L85,'Employee Data'!D85*1.05)</f>
        <v/>
      </c>
      <c r="G84" s="71">
        <f>IF(E84&gt;0,ROUND(E84/F84,2),"")</f>
        <v/>
      </c>
      <c r="H84" s="72">
        <f>IF(G84="","",IF(G84&lt;0.9,"Below Market",IF(G84&gt;1.1,"Above Market","At Market")))</f>
        <v/>
      </c>
      <c r="I84" s="73">
        <f>IF(E84&gt;0,RANK(E84,$E$6:$E$105,1)/COUNTA($E$6:$E$105),"")</f>
        <v/>
      </c>
    </row>
    <row r="85">
      <c r="A85" s="66">
        <f>'Employee Data'!A86</f>
        <v/>
      </c>
      <c r="B85" s="66">
        <f>'Employee Data'!G86</f>
        <v/>
      </c>
      <c r="C85" s="66">
        <f>'Employee Data'!F86</f>
        <v/>
      </c>
      <c r="D85" s="66">
        <f>'Employee Data'!E86</f>
        <v/>
      </c>
      <c r="E85" s="67">
        <f>'Employee Data'!D86</f>
        <v/>
      </c>
      <c r="F85" s="67">
        <f>IF('Employee Data'!L86&gt;0,'Employee Data'!L86,'Employee Data'!D86*1.05)</f>
        <v/>
      </c>
      <c r="G85" s="74">
        <f>IF(E85&gt;0,ROUND(E85/F85,2),"")</f>
        <v/>
      </c>
      <c r="H85" s="75">
        <f>IF(G85="","",IF(G85&lt;0.9,"Below Market",IF(G85&gt;1.1,"Above Market","At Market")))</f>
        <v/>
      </c>
      <c r="I85" s="76">
        <f>IF(E85&gt;0,RANK(E85,$E$6:$E$105,1)/COUNTA($E$6:$E$105),"")</f>
        <v/>
      </c>
    </row>
    <row r="86">
      <c r="A86" s="61">
        <f>'Employee Data'!A87</f>
        <v/>
      </c>
      <c r="B86" s="61">
        <f>'Employee Data'!G87</f>
        <v/>
      </c>
      <c r="C86" s="61">
        <f>'Employee Data'!F87</f>
        <v/>
      </c>
      <c r="D86" s="61">
        <f>'Employee Data'!E87</f>
        <v/>
      </c>
      <c r="E86" s="62">
        <f>'Employee Data'!D87</f>
        <v/>
      </c>
      <c r="F86" s="62">
        <f>IF('Employee Data'!L87&gt;0,'Employee Data'!L87,'Employee Data'!D87*1.05)</f>
        <v/>
      </c>
      <c r="G86" s="71">
        <f>IF(E86&gt;0,ROUND(E86/F86,2),"")</f>
        <v/>
      </c>
      <c r="H86" s="72">
        <f>IF(G86="","",IF(G86&lt;0.9,"Below Market",IF(G86&gt;1.1,"Above Market","At Market")))</f>
        <v/>
      </c>
      <c r="I86" s="73">
        <f>IF(E86&gt;0,RANK(E86,$E$6:$E$105,1)/COUNTA($E$6:$E$105),"")</f>
        <v/>
      </c>
    </row>
    <row r="87">
      <c r="A87" s="66">
        <f>'Employee Data'!A88</f>
        <v/>
      </c>
      <c r="B87" s="66">
        <f>'Employee Data'!G88</f>
        <v/>
      </c>
      <c r="C87" s="66">
        <f>'Employee Data'!F88</f>
        <v/>
      </c>
      <c r="D87" s="66">
        <f>'Employee Data'!E88</f>
        <v/>
      </c>
      <c r="E87" s="67">
        <f>'Employee Data'!D88</f>
        <v/>
      </c>
      <c r="F87" s="67">
        <f>IF('Employee Data'!L88&gt;0,'Employee Data'!L88,'Employee Data'!D88*1.05)</f>
        <v/>
      </c>
      <c r="G87" s="74">
        <f>IF(E87&gt;0,ROUND(E87/F87,2),"")</f>
        <v/>
      </c>
      <c r="H87" s="75">
        <f>IF(G87="","",IF(G87&lt;0.9,"Below Market",IF(G87&gt;1.1,"Above Market","At Market")))</f>
        <v/>
      </c>
      <c r="I87" s="76">
        <f>IF(E87&gt;0,RANK(E87,$E$6:$E$105,1)/COUNTA($E$6:$E$105),"")</f>
        <v/>
      </c>
    </row>
    <row r="88">
      <c r="A88" s="61">
        <f>'Employee Data'!A89</f>
        <v/>
      </c>
      <c r="B88" s="61">
        <f>'Employee Data'!G89</f>
        <v/>
      </c>
      <c r="C88" s="61">
        <f>'Employee Data'!F89</f>
        <v/>
      </c>
      <c r="D88" s="61">
        <f>'Employee Data'!E89</f>
        <v/>
      </c>
      <c r="E88" s="62">
        <f>'Employee Data'!D89</f>
        <v/>
      </c>
      <c r="F88" s="62">
        <f>IF('Employee Data'!L89&gt;0,'Employee Data'!L89,'Employee Data'!D89*1.05)</f>
        <v/>
      </c>
      <c r="G88" s="71">
        <f>IF(E88&gt;0,ROUND(E88/F88,2),"")</f>
        <v/>
      </c>
      <c r="H88" s="72">
        <f>IF(G88="","",IF(G88&lt;0.9,"Below Market",IF(G88&gt;1.1,"Above Market","At Market")))</f>
        <v/>
      </c>
      <c r="I88" s="73">
        <f>IF(E88&gt;0,RANK(E88,$E$6:$E$105,1)/COUNTA($E$6:$E$105),"")</f>
        <v/>
      </c>
    </row>
    <row r="89">
      <c r="A89" s="66">
        <f>'Employee Data'!A90</f>
        <v/>
      </c>
      <c r="B89" s="66">
        <f>'Employee Data'!G90</f>
        <v/>
      </c>
      <c r="C89" s="66">
        <f>'Employee Data'!F90</f>
        <v/>
      </c>
      <c r="D89" s="66">
        <f>'Employee Data'!E90</f>
        <v/>
      </c>
      <c r="E89" s="67">
        <f>'Employee Data'!D90</f>
        <v/>
      </c>
      <c r="F89" s="67">
        <f>IF('Employee Data'!L90&gt;0,'Employee Data'!L90,'Employee Data'!D90*1.05)</f>
        <v/>
      </c>
      <c r="G89" s="74">
        <f>IF(E89&gt;0,ROUND(E89/F89,2),"")</f>
        <v/>
      </c>
      <c r="H89" s="75">
        <f>IF(G89="","",IF(G89&lt;0.9,"Below Market",IF(G89&gt;1.1,"Above Market","At Market")))</f>
        <v/>
      </c>
      <c r="I89" s="76">
        <f>IF(E89&gt;0,RANK(E89,$E$6:$E$105,1)/COUNTA($E$6:$E$105),"")</f>
        <v/>
      </c>
    </row>
    <row r="90">
      <c r="A90" s="61">
        <f>'Employee Data'!A91</f>
        <v/>
      </c>
      <c r="B90" s="61">
        <f>'Employee Data'!G91</f>
        <v/>
      </c>
      <c r="C90" s="61">
        <f>'Employee Data'!F91</f>
        <v/>
      </c>
      <c r="D90" s="61">
        <f>'Employee Data'!E91</f>
        <v/>
      </c>
      <c r="E90" s="62">
        <f>'Employee Data'!D91</f>
        <v/>
      </c>
      <c r="F90" s="62">
        <f>IF('Employee Data'!L91&gt;0,'Employee Data'!L91,'Employee Data'!D91*1.05)</f>
        <v/>
      </c>
      <c r="G90" s="71">
        <f>IF(E90&gt;0,ROUND(E90/F90,2),"")</f>
        <v/>
      </c>
      <c r="H90" s="72">
        <f>IF(G90="","",IF(G90&lt;0.9,"Below Market",IF(G90&gt;1.1,"Above Market","At Market")))</f>
        <v/>
      </c>
      <c r="I90" s="73">
        <f>IF(E90&gt;0,RANK(E90,$E$6:$E$105,1)/COUNTA($E$6:$E$105),"")</f>
        <v/>
      </c>
    </row>
    <row r="91">
      <c r="A91" s="66">
        <f>'Employee Data'!A92</f>
        <v/>
      </c>
      <c r="B91" s="66">
        <f>'Employee Data'!G92</f>
        <v/>
      </c>
      <c r="C91" s="66">
        <f>'Employee Data'!F92</f>
        <v/>
      </c>
      <c r="D91" s="66">
        <f>'Employee Data'!E92</f>
        <v/>
      </c>
      <c r="E91" s="67">
        <f>'Employee Data'!D92</f>
        <v/>
      </c>
      <c r="F91" s="67">
        <f>IF('Employee Data'!L92&gt;0,'Employee Data'!L92,'Employee Data'!D92*1.05)</f>
        <v/>
      </c>
      <c r="G91" s="74">
        <f>IF(E91&gt;0,ROUND(E91/F91,2),"")</f>
        <v/>
      </c>
      <c r="H91" s="75">
        <f>IF(G91="","",IF(G91&lt;0.9,"Below Market",IF(G91&gt;1.1,"Above Market","At Market")))</f>
        <v/>
      </c>
      <c r="I91" s="76">
        <f>IF(E91&gt;0,RANK(E91,$E$6:$E$105,1)/COUNTA($E$6:$E$105),"")</f>
        <v/>
      </c>
    </row>
    <row r="92">
      <c r="A92" s="61">
        <f>'Employee Data'!A93</f>
        <v/>
      </c>
      <c r="B92" s="61">
        <f>'Employee Data'!G93</f>
        <v/>
      </c>
      <c r="C92" s="61">
        <f>'Employee Data'!F93</f>
        <v/>
      </c>
      <c r="D92" s="61">
        <f>'Employee Data'!E93</f>
        <v/>
      </c>
      <c r="E92" s="62">
        <f>'Employee Data'!D93</f>
        <v/>
      </c>
      <c r="F92" s="62">
        <f>IF('Employee Data'!L93&gt;0,'Employee Data'!L93,'Employee Data'!D93*1.05)</f>
        <v/>
      </c>
      <c r="G92" s="71">
        <f>IF(E92&gt;0,ROUND(E92/F92,2),"")</f>
        <v/>
      </c>
      <c r="H92" s="72">
        <f>IF(G92="","",IF(G92&lt;0.9,"Below Market",IF(G92&gt;1.1,"Above Market","At Market")))</f>
        <v/>
      </c>
      <c r="I92" s="73">
        <f>IF(E92&gt;0,RANK(E92,$E$6:$E$105,1)/COUNTA($E$6:$E$105),"")</f>
        <v/>
      </c>
    </row>
    <row r="93">
      <c r="A93" s="66">
        <f>'Employee Data'!A94</f>
        <v/>
      </c>
      <c r="B93" s="66">
        <f>'Employee Data'!G94</f>
        <v/>
      </c>
      <c r="C93" s="66">
        <f>'Employee Data'!F94</f>
        <v/>
      </c>
      <c r="D93" s="66">
        <f>'Employee Data'!E94</f>
        <v/>
      </c>
      <c r="E93" s="67">
        <f>'Employee Data'!D94</f>
        <v/>
      </c>
      <c r="F93" s="67">
        <f>IF('Employee Data'!L94&gt;0,'Employee Data'!L94,'Employee Data'!D94*1.05)</f>
        <v/>
      </c>
      <c r="G93" s="74">
        <f>IF(E93&gt;0,ROUND(E93/F93,2),"")</f>
        <v/>
      </c>
      <c r="H93" s="75">
        <f>IF(G93="","",IF(G93&lt;0.9,"Below Market",IF(G93&gt;1.1,"Above Market","At Market")))</f>
        <v/>
      </c>
      <c r="I93" s="76">
        <f>IF(E93&gt;0,RANK(E93,$E$6:$E$105,1)/COUNTA($E$6:$E$105),"")</f>
        <v/>
      </c>
    </row>
    <row r="94">
      <c r="A94" s="61">
        <f>'Employee Data'!A95</f>
        <v/>
      </c>
      <c r="B94" s="61">
        <f>'Employee Data'!G95</f>
        <v/>
      </c>
      <c r="C94" s="61">
        <f>'Employee Data'!F95</f>
        <v/>
      </c>
      <c r="D94" s="61">
        <f>'Employee Data'!E95</f>
        <v/>
      </c>
      <c r="E94" s="62">
        <f>'Employee Data'!D95</f>
        <v/>
      </c>
      <c r="F94" s="62">
        <f>IF('Employee Data'!L95&gt;0,'Employee Data'!L95,'Employee Data'!D95*1.05)</f>
        <v/>
      </c>
      <c r="G94" s="71">
        <f>IF(E94&gt;0,ROUND(E94/F94,2),"")</f>
        <v/>
      </c>
      <c r="H94" s="72">
        <f>IF(G94="","",IF(G94&lt;0.9,"Below Market",IF(G94&gt;1.1,"Above Market","At Market")))</f>
        <v/>
      </c>
      <c r="I94" s="73">
        <f>IF(E94&gt;0,RANK(E94,$E$6:$E$105,1)/COUNTA($E$6:$E$105),"")</f>
        <v/>
      </c>
    </row>
    <row r="95">
      <c r="A95" s="66">
        <f>'Employee Data'!A96</f>
        <v/>
      </c>
      <c r="B95" s="66">
        <f>'Employee Data'!G96</f>
        <v/>
      </c>
      <c r="C95" s="66">
        <f>'Employee Data'!F96</f>
        <v/>
      </c>
      <c r="D95" s="66">
        <f>'Employee Data'!E96</f>
        <v/>
      </c>
      <c r="E95" s="67">
        <f>'Employee Data'!D96</f>
        <v/>
      </c>
      <c r="F95" s="67">
        <f>IF('Employee Data'!L96&gt;0,'Employee Data'!L96,'Employee Data'!D96*1.05)</f>
        <v/>
      </c>
      <c r="G95" s="74">
        <f>IF(E95&gt;0,ROUND(E95/F95,2),"")</f>
        <v/>
      </c>
      <c r="H95" s="75">
        <f>IF(G95="","",IF(G95&lt;0.9,"Below Market",IF(G95&gt;1.1,"Above Market","At Market")))</f>
        <v/>
      </c>
      <c r="I95" s="76">
        <f>IF(E95&gt;0,RANK(E95,$E$6:$E$105,1)/COUNTA($E$6:$E$105),"")</f>
        <v/>
      </c>
    </row>
    <row r="96">
      <c r="A96" s="61">
        <f>'Employee Data'!A97</f>
        <v/>
      </c>
      <c r="B96" s="61">
        <f>'Employee Data'!G97</f>
        <v/>
      </c>
      <c r="C96" s="61">
        <f>'Employee Data'!F97</f>
        <v/>
      </c>
      <c r="D96" s="61">
        <f>'Employee Data'!E97</f>
        <v/>
      </c>
      <c r="E96" s="62">
        <f>'Employee Data'!D97</f>
        <v/>
      </c>
      <c r="F96" s="62">
        <f>IF('Employee Data'!L97&gt;0,'Employee Data'!L97,'Employee Data'!D97*1.05)</f>
        <v/>
      </c>
      <c r="G96" s="71">
        <f>IF(E96&gt;0,ROUND(E96/F96,2),"")</f>
        <v/>
      </c>
      <c r="H96" s="72">
        <f>IF(G96="","",IF(G96&lt;0.9,"Below Market",IF(G96&gt;1.1,"Above Market","At Market")))</f>
        <v/>
      </c>
      <c r="I96" s="73">
        <f>IF(E96&gt;0,RANK(E96,$E$6:$E$105,1)/COUNTA($E$6:$E$105),"")</f>
        <v/>
      </c>
    </row>
    <row r="97">
      <c r="A97" s="66">
        <f>'Employee Data'!A98</f>
        <v/>
      </c>
      <c r="B97" s="66">
        <f>'Employee Data'!G98</f>
        <v/>
      </c>
      <c r="C97" s="66">
        <f>'Employee Data'!F98</f>
        <v/>
      </c>
      <c r="D97" s="66">
        <f>'Employee Data'!E98</f>
        <v/>
      </c>
      <c r="E97" s="67">
        <f>'Employee Data'!D98</f>
        <v/>
      </c>
      <c r="F97" s="67">
        <f>IF('Employee Data'!L98&gt;0,'Employee Data'!L98,'Employee Data'!D98*1.05)</f>
        <v/>
      </c>
      <c r="G97" s="74">
        <f>IF(E97&gt;0,ROUND(E97/F97,2),"")</f>
        <v/>
      </c>
      <c r="H97" s="75">
        <f>IF(G97="","",IF(G97&lt;0.9,"Below Market",IF(G97&gt;1.1,"Above Market","At Market")))</f>
        <v/>
      </c>
      <c r="I97" s="76">
        <f>IF(E97&gt;0,RANK(E97,$E$6:$E$105,1)/COUNTA($E$6:$E$105),"")</f>
        <v/>
      </c>
    </row>
    <row r="98">
      <c r="A98" s="61">
        <f>'Employee Data'!A99</f>
        <v/>
      </c>
      <c r="B98" s="61">
        <f>'Employee Data'!G99</f>
        <v/>
      </c>
      <c r="C98" s="61">
        <f>'Employee Data'!F99</f>
        <v/>
      </c>
      <c r="D98" s="61">
        <f>'Employee Data'!E99</f>
        <v/>
      </c>
      <c r="E98" s="62">
        <f>'Employee Data'!D99</f>
        <v/>
      </c>
      <c r="F98" s="62">
        <f>IF('Employee Data'!L99&gt;0,'Employee Data'!L99,'Employee Data'!D99*1.05)</f>
        <v/>
      </c>
      <c r="G98" s="71">
        <f>IF(E98&gt;0,ROUND(E98/F98,2),"")</f>
        <v/>
      </c>
      <c r="H98" s="72">
        <f>IF(G98="","",IF(G98&lt;0.9,"Below Market",IF(G98&gt;1.1,"Above Market","At Market")))</f>
        <v/>
      </c>
      <c r="I98" s="73">
        <f>IF(E98&gt;0,RANK(E98,$E$6:$E$105,1)/COUNTA($E$6:$E$105),"")</f>
        <v/>
      </c>
    </row>
    <row r="99">
      <c r="A99" s="66">
        <f>'Employee Data'!A100</f>
        <v/>
      </c>
      <c r="B99" s="66">
        <f>'Employee Data'!G100</f>
        <v/>
      </c>
      <c r="C99" s="66">
        <f>'Employee Data'!F100</f>
        <v/>
      </c>
      <c r="D99" s="66">
        <f>'Employee Data'!E100</f>
        <v/>
      </c>
      <c r="E99" s="67">
        <f>'Employee Data'!D100</f>
        <v/>
      </c>
      <c r="F99" s="67">
        <f>IF('Employee Data'!L100&gt;0,'Employee Data'!L100,'Employee Data'!D100*1.05)</f>
        <v/>
      </c>
      <c r="G99" s="74">
        <f>IF(E99&gt;0,ROUND(E99/F99,2),"")</f>
        <v/>
      </c>
      <c r="H99" s="75">
        <f>IF(G99="","",IF(G99&lt;0.9,"Below Market",IF(G99&gt;1.1,"Above Market","At Market")))</f>
        <v/>
      </c>
      <c r="I99" s="76">
        <f>IF(E99&gt;0,RANK(E99,$E$6:$E$105,1)/COUNTA($E$6:$E$105),"")</f>
        <v/>
      </c>
    </row>
    <row r="100">
      <c r="A100" s="61">
        <f>'Employee Data'!A101</f>
        <v/>
      </c>
      <c r="B100" s="61">
        <f>'Employee Data'!G101</f>
        <v/>
      </c>
      <c r="C100" s="61">
        <f>'Employee Data'!F101</f>
        <v/>
      </c>
      <c r="D100" s="61">
        <f>'Employee Data'!E101</f>
        <v/>
      </c>
      <c r="E100" s="62">
        <f>'Employee Data'!D101</f>
        <v/>
      </c>
      <c r="F100" s="62">
        <f>IF('Employee Data'!L101&gt;0,'Employee Data'!L101,'Employee Data'!D101*1.05)</f>
        <v/>
      </c>
      <c r="G100" s="71">
        <f>IF(E100&gt;0,ROUND(E100/F100,2),"")</f>
        <v/>
      </c>
      <c r="H100" s="72">
        <f>IF(G100="","",IF(G100&lt;0.9,"Below Market",IF(G100&gt;1.1,"Above Market","At Market")))</f>
        <v/>
      </c>
      <c r="I100" s="73">
        <f>IF(E100&gt;0,RANK(E100,$E$6:$E$105,1)/COUNTA($E$6:$E$105),"")</f>
        <v/>
      </c>
    </row>
    <row r="101">
      <c r="A101" s="66">
        <f>'Employee Data'!A102</f>
        <v/>
      </c>
      <c r="B101" s="66">
        <f>'Employee Data'!G102</f>
        <v/>
      </c>
      <c r="C101" s="66">
        <f>'Employee Data'!F102</f>
        <v/>
      </c>
      <c r="D101" s="66">
        <f>'Employee Data'!E102</f>
        <v/>
      </c>
      <c r="E101" s="67">
        <f>'Employee Data'!D102</f>
        <v/>
      </c>
      <c r="F101" s="67">
        <f>IF('Employee Data'!L102&gt;0,'Employee Data'!L102,'Employee Data'!D102*1.05)</f>
        <v/>
      </c>
      <c r="G101" s="74">
        <f>IF(E101&gt;0,ROUND(E101/F101,2),"")</f>
        <v/>
      </c>
      <c r="H101" s="75">
        <f>IF(G101="","",IF(G101&lt;0.9,"Below Market",IF(G101&gt;1.1,"Above Market","At Market")))</f>
        <v/>
      </c>
      <c r="I101" s="76">
        <f>IF(E101&gt;0,RANK(E101,$E$6:$E$105,1)/COUNTA($E$6:$E$105),"")</f>
        <v/>
      </c>
    </row>
    <row r="102">
      <c r="A102" s="61">
        <f>'Employee Data'!A103</f>
        <v/>
      </c>
      <c r="B102" s="61">
        <f>'Employee Data'!G103</f>
        <v/>
      </c>
      <c r="C102" s="61">
        <f>'Employee Data'!F103</f>
        <v/>
      </c>
      <c r="D102" s="61">
        <f>'Employee Data'!E103</f>
        <v/>
      </c>
      <c r="E102" s="62">
        <f>'Employee Data'!D103</f>
        <v/>
      </c>
      <c r="F102" s="62">
        <f>IF('Employee Data'!L103&gt;0,'Employee Data'!L103,'Employee Data'!D103*1.05)</f>
        <v/>
      </c>
      <c r="G102" s="71">
        <f>IF(E102&gt;0,ROUND(E102/F102,2),"")</f>
        <v/>
      </c>
      <c r="H102" s="72">
        <f>IF(G102="","",IF(G102&lt;0.9,"Below Market",IF(G102&gt;1.1,"Above Market","At Market")))</f>
        <v/>
      </c>
      <c r="I102" s="73">
        <f>IF(E102&gt;0,RANK(E102,$E$6:$E$105,1)/COUNTA($E$6:$E$105),"")</f>
        <v/>
      </c>
    </row>
    <row r="103">
      <c r="A103" s="66">
        <f>'Employee Data'!A104</f>
        <v/>
      </c>
      <c r="B103" s="66">
        <f>'Employee Data'!G104</f>
        <v/>
      </c>
      <c r="C103" s="66">
        <f>'Employee Data'!F104</f>
        <v/>
      </c>
      <c r="D103" s="66">
        <f>'Employee Data'!E104</f>
        <v/>
      </c>
      <c r="E103" s="67">
        <f>'Employee Data'!D104</f>
        <v/>
      </c>
      <c r="F103" s="67">
        <f>IF('Employee Data'!L104&gt;0,'Employee Data'!L104,'Employee Data'!D104*1.05)</f>
        <v/>
      </c>
      <c r="G103" s="74">
        <f>IF(E103&gt;0,ROUND(E103/F103,2),"")</f>
        <v/>
      </c>
      <c r="H103" s="75">
        <f>IF(G103="","",IF(G103&lt;0.9,"Below Market",IF(G103&gt;1.1,"Above Market","At Market")))</f>
        <v/>
      </c>
      <c r="I103" s="76">
        <f>IF(E103&gt;0,RANK(E103,$E$6:$E$105,1)/COUNTA($E$6:$E$105),"")</f>
        <v/>
      </c>
    </row>
    <row r="104">
      <c r="A104" s="61">
        <f>'Employee Data'!A105</f>
        <v/>
      </c>
      <c r="B104" s="61">
        <f>'Employee Data'!G105</f>
        <v/>
      </c>
      <c r="C104" s="61">
        <f>'Employee Data'!F105</f>
        <v/>
      </c>
      <c r="D104" s="61">
        <f>'Employee Data'!E105</f>
        <v/>
      </c>
      <c r="E104" s="62">
        <f>'Employee Data'!D105</f>
        <v/>
      </c>
      <c r="F104" s="62">
        <f>IF('Employee Data'!L105&gt;0,'Employee Data'!L105,'Employee Data'!D105*1.05)</f>
        <v/>
      </c>
      <c r="G104" s="71">
        <f>IF(E104&gt;0,ROUND(E104/F104,2),"")</f>
        <v/>
      </c>
      <c r="H104" s="72">
        <f>IF(G104="","",IF(G104&lt;0.9,"Below Market",IF(G104&gt;1.1,"Above Market","At Market")))</f>
        <v/>
      </c>
      <c r="I104" s="73">
        <f>IF(E104&gt;0,RANK(E104,$E$6:$E$105,1)/COUNTA($E$6:$E$105),"")</f>
        <v/>
      </c>
    </row>
    <row r="105">
      <c r="A105" s="66">
        <f>'Employee Data'!A106</f>
        <v/>
      </c>
      <c r="B105" s="66">
        <f>'Employee Data'!G106</f>
        <v/>
      </c>
      <c r="C105" s="66">
        <f>'Employee Data'!F106</f>
        <v/>
      </c>
      <c r="D105" s="66">
        <f>'Employee Data'!E106</f>
        <v/>
      </c>
      <c r="E105" s="67">
        <f>'Employee Data'!D106</f>
        <v/>
      </c>
      <c r="F105" s="67">
        <f>IF('Employee Data'!L106&gt;0,'Employee Data'!L106,'Employee Data'!D106*1.05)</f>
        <v/>
      </c>
      <c r="G105" s="74">
        <f>IF(E105&gt;0,ROUND(E105/F105,2),"")</f>
        <v/>
      </c>
      <c r="H105" s="75">
        <f>IF(G105="","",IF(G105&lt;0.9,"Below Market",IF(G105&gt;1.1,"Above Market","At Market")))</f>
        <v/>
      </c>
      <c r="I105" s="76">
        <f>IF(E105&gt;0,RANK(E105,$E$6:$E$105,1)/COUNTA($E$6:$E$105),"")</f>
        <v/>
      </c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F4444"/>
    <outlinePr summaryBelow="1" summaryRight="1"/>
    <pageSetUpPr/>
  </sheetPr>
  <dimension ref="A1:I10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5" customWidth="1" min="3" max="3"/>
    <col width="12" customWidth="1" min="4" max="4"/>
    <col width="12" customWidth="1" min="5" max="5"/>
    <col width="14" customWidth="1" min="6" max="6"/>
    <col width="12" customWidth="1" min="7" max="7"/>
    <col width="14" customWidth="1" min="8" max="8"/>
    <col width="38" customWidth="1" min="9" max="9"/>
  </cols>
  <sheetData>
    <row r="1">
      <c r="A1" s="17" t="inlineStr">
        <is>
          <t>VIRORAH PMS — Flight Risk</t>
        </is>
      </c>
    </row>
    <row r="2">
      <c r="A2" s="13" t="inlineStr">
        <is>
          <t>Auto-calculated attrition risk scoring. Red = High risk, Amber = Medium, Green = Low.</t>
        </is>
      </c>
    </row>
    <row r="3">
      <c r="A3" s="3" t="n"/>
    </row>
    <row r="5" ht="24" customHeight="1">
      <c r="A5" s="15" t="inlineStr">
        <is>
          <t>Employee</t>
        </is>
      </c>
      <c r="B5" s="15" t="inlineStr">
        <is>
          <t>Dept</t>
        </is>
      </c>
      <c r="C5" s="15" t="inlineStr">
        <is>
          <t>Level</t>
        </is>
      </c>
      <c r="D5" s="15" t="inlineStr">
        <is>
          <t>Perf Rating</t>
        </is>
      </c>
      <c r="E5" s="15" t="inlineStr">
        <is>
          <t>Tenure</t>
        </is>
      </c>
      <c r="F5" s="15" t="inlineStr">
        <is>
          <t>Compa-Ratio</t>
        </is>
      </c>
      <c r="G5" s="15" t="inlineStr">
        <is>
          <t>Risk Score</t>
        </is>
      </c>
      <c r="H5" s="15" t="inlineStr">
        <is>
          <t>Risk Level</t>
        </is>
      </c>
      <c r="I5" s="15" t="inlineStr">
        <is>
          <t>Action Required</t>
        </is>
      </c>
    </row>
    <row r="6">
      <c r="A6" s="61">
        <f>'Employee Data'!A7</f>
        <v/>
      </c>
      <c r="B6" s="61">
        <f>'Employee Data'!G7</f>
        <v/>
      </c>
      <c r="C6" s="61">
        <f>'Employee Data'!F7</f>
        <v/>
      </c>
      <c r="D6" s="63">
        <f>'Employee Data'!B7</f>
        <v/>
      </c>
      <c r="E6" s="63">
        <f>'Employee Data'!H7</f>
        <v/>
      </c>
      <c r="F6" s="77">
        <f>IFERROR('Employee Data'!D7/IF('Employee Data'!L7&gt;0,'Employee Data'!L7,'Employee Data'!D7*1.05),1)</f>
        <v/>
      </c>
      <c r="G6" s="63">
        <f>IF(A6="","",IF(D6&lt;=2,3,IF(D6=3,1,0))+IF(E6&lt;2,2,IF(E6&lt;4,1,0))+IF(F6&lt;0.9,2,IF(F6&lt;0.95,1,0)))</f>
        <v/>
      </c>
      <c r="H6" s="63">
        <f>IF(G6="","",IF(G6&gt;=5,"High",IF(G6&gt;=3,"Medium","Low")))</f>
        <v/>
      </c>
      <c r="I6" s="63">
        <f>IF(H6="High","Retention conversation + counter-offer review",IF(H6="Medium","Check-in + career development discussion","Continue monitoring"))</f>
        <v/>
      </c>
    </row>
    <row r="7">
      <c r="A7" s="66">
        <f>'Employee Data'!A8</f>
        <v/>
      </c>
      <c r="B7" s="66">
        <f>'Employee Data'!G8</f>
        <v/>
      </c>
      <c r="C7" s="66">
        <f>'Employee Data'!F8</f>
        <v/>
      </c>
      <c r="D7" s="68">
        <f>'Employee Data'!B8</f>
        <v/>
      </c>
      <c r="E7" s="68">
        <f>'Employee Data'!H8</f>
        <v/>
      </c>
      <c r="F7" s="78">
        <f>IFERROR('Employee Data'!D8/IF('Employee Data'!L8&gt;0,'Employee Data'!L8,'Employee Data'!D8*1.05),1)</f>
        <v/>
      </c>
      <c r="G7" s="68">
        <f>IF(A7="","",IF(D7&lt;=2,3,IF(D7=3,1,0))+IF(E7&lt;2,2,IF(E7&lt;4,1,0))+IF(F7&lt;0.9,2,IF(F7&lt;0.95,1,0)))</f>
        <v/>
      </c>
      <c r="H7" s="68">
        <f>IF(G7="","",IF(G7&gt;=5,"High",IF(G7&gt;=3,"Medium","Low")))</f>
        <v/>
      </c>
      <c r="I7" s="68">
        <f>IF(H7="High","Retention conversation + counter-offer review",IF(H7="Medium","Check-in + career development discussion","Continue monitoring"))</f>
        <v/>
      </c>
    </row>
    <row r="8">
      <c r="A8" s="61">
        <f>'Employee Data'!A9</f>
        <v/>
      </c>
      <c r="B8" s="61">
        <f>'Employee Data'!G9</f>
        <v/>
      </c>
      <c r="C8" s="61">
        <f>'Employee Data'!F9</f>
        <v/>
      </c>
      <c r="D8" s="63">
        <f>'Employee Data'!B9</f>
        <v/>
      </c>
      <c r="E8" s="63">
        <f>'Employee Data'!H9</f>
        <v/>
      </c>
      <c r="F8" s="77">
        <f>IFERROR('Employee Data'!D9/IF('Employee Data'!L9&gt;0,'Employee Data'!L9,'Employee Data'!D9*1.05),1)</f>
        <v/>
      </c>
      <c r="G8" s="63">
        <f>IF(A8="","",IF(D8&lt;=2,3,IF(D8=3,1,0))+IF(E8&lt;2,2,IF(E8&lt;4,1,0))+IF(F8&lt;0.9,2,IF(F8&lt;0.95,1,0)))</f>
        <v/>
      </c>
      <c r="H8" s="63">
        <f>IF(G8="","",IF(G8&gt;=5,"High",IF(G8&gt;=3,"Medium","Low")))</f>
        <v/>
      </c>
      <c r="I8" s="63">
        <f>IF(H8="High","Retention conversation + counter-offer review",IF(H8="Medium","Check-in + career development discussion","Continue monitoring"))</f>
        <v/>
      </c>
    </row>
    <row r="9">
      <c r="A9" s="66">
        <f>'Employee Data'!A10</f>
        <v/>
      </c>
      <c r="B9" s="66">
        <f>'Employee Data'!G10</f>
        <v/>
      </c>
      <c r="C9" s="66">
        <f>'Employee Data'!F10</f>
        <v/>
      </c>
      <c r="D9" s="68">
        <f>'Employee Data'!B10</f>
        <v/>
      </c>
      <c r="E9" s="68">
        <f>'Employee Data'!H10</f>
        <v/>
      </c>
      <c r="F9" s="78">
        <f>IFERROR('Employee Data'!D10/IF('Employee Data'!L10&gt;0,'Employee Data'!L10,'Employee Data'!D10*1.05),1)</f>
        <v/>
      </c>
      <c r="G9" s="68">
        <f>IF(A9="","",IF(D9&lt;=2,3,IF(D9=3,1,0))+IF(E9&lt;2,2,IF(E9&lt;4,1,0))+IF(F9&lt;0.9,2,IF(F9&lt;0.95,1,0)))</f>
        <v/>
      </c>
      <c r="H9" s="68">
        <f>IF(G9="","",IF(G9&gt;=5,"High",IF(G9&gt;=3,"Medium","Low")))</f>
        <v/>
      </c>
      <c r="I9" s="68">
        <f>IF(H9="High","Retention conversation + counter-offer review",IF(H9="Medium","Check-in + career development discussion","Continue monitoring"))</f>
        <v/>
      </c>
    </row>
    <row r="10">
      <c r="A10" s="61">
        <f>'Employee Data'!A11</f>
        <v/>
      </c>
      <c r="B10" s="61">
        <f>'Employee Data'!G11</f>
        <v/>
      </c>
      <c r="C10" s="61">
        <f>'Employee Data'!F11</f>
        <v/>
      </c>
      <c r="D10" s="63">
        <f>'Employee Data'!B11</f>
        <v/>
      </c>
      <c r="E10" s="63">
        <f>'Employee Data'!H11</f>
        <v/>
      </c>
      <c r="F10" s="77">
        <f>IFERROR('Employee Data'!D11/IF('Employee Data'!L11&gt;0,'Employee Data'!L11,'Employee Data'!D11*1.05),1)</f>
        <v/>
      </c>
      <c r="G10" s="63">
        <f>IF(A10="","",IF(D10&lt;=2,3,IF(D10=3,1,0))+IF(E10&lt;2,2,IF(E10&lt;4,1,0))+IF(F10&lt;0.9,2,IF(F10&lt;0.95,1,0)))</f>
        <v/>
      </c>
      <c r="H10" s="63">
        <f>IF(G10="","",IF(G10&gt;=5,"High",IF(G10&gt;=3,"Medium","Low")))</f>
        <v/>
      </c>
      <c r="I10" s="63">
        <f>IF(H10="High","Retention conversation + counter-offer review",IF(H10="Medium","Check-in + career development discussion","Continue monitoring"))</f>
        <v/>
      </c>
    </row>
    <row r="11">
      <c r="A11" s="66">
        <f>'Employee Data'!A12</f>
        <v/>
      </c>
      <c r="B11" s="66">
        <f>'Employee Data'!G12</f>
        <v/>
      </c>
      <c r="C11" s="66">
        <f>'Employee Data'!F12</f>
        <v/>
      </c>
      <c r="D11" s="68">
        <f>'Employee Data'!B12</f>
        <v/>
      </c>
      <c r="E11" s="68">
        <f>'Employee Data'!H12</f>
        <v/>
      </c>
      <c r="F11" s="78">
        <f>IFERROR('Employee Data'!D12/IF('Employee Data'!L12&gt;0,'Employee Data'!L12,'Employee Data'!D12*1.05),1)</f>
        <v/>
      </c>
      <c r="G11" s="68">
        <f>IF(A11="","",IF(D11&lt;=2,3,IF(D11=3,1,0))+IF(E11&lt;2,2,IF(E11&lt;4,1,0))+IF(F11&lt;0.9,2,IF(F11&lt;0.95,1,0)))</f>
        <v/>
      </c>
      <c r="H11" s="68">
        <f>IF(G11="","",IF(G11&gt;=5,"High",IF(G11&gt;=3,"Medium","Low")))</f>
        <v/>
      </c>
      <c r="I11" s="68">
        <f>IF(H11="High","Retention conversation + counter-offer review",IF(H11="Medium","Check-in + career development discussion","Continue monitoring"))</f>
        <v/>
      </c>
    </row>
    <row r="12">
      <c r="A12" s="61">
        <f>'Employee Data'!A13</f>
        <v/>
      </c>
      <c r="B12" s="61">
        <f>'Employee Data'!G13</f>
        <v/>
      </c>
      <c r="C12" s="61">
        <f>'Employee Data'!F13</f>
        <v/>
      </c>
      <c r="D12" s="63">
        <f>'Employee Data'!B13</f>
        <v/>
      </c>
      <c r="E12" s="63">
        <f>'Employee Data'!H13</f>
        <v/>
      </c>
      <c r="F12" s="77">
        <f>IFERROR('Employee Data'!D13/IF('Employee Data'!L13&gt;0,'Employee Data'!L13,'Employee Data'!D13*1.05),1)</f>
        <v/>
      </c>
      <c r="G12" s="63">
        <f>IF(A12="","",IF(D12&lt;=2,3,IF(D12=3,1,0))+IF(E12&lt;2,2,IF(E12&lt;4,1,0))+IF(F12&lt;0.9,2,IF(F12&lt;0.95,1,0)))</f>
        <v/>
      </c>
      <c r="H12" s="63">
        <f>IF(G12="","",IF(G12&gt;=5,"High",IF(G12&gt;=3,"Medium","Low")))</f>
        <v/>
      </c>
      <c r="I12" s="63">
        <f>IF(H12="High","Retention conversation + counter-offer review",IF(H12="Medium","Check-in + career development discussion","Continue monitoring"))</f>
        <v/>
      </c>
    </row>
    <row r="13">
      <c r="A13" s="66">
        <f>'Employee Data'!A14</f>
        <v/>
      </c>
      <c r="B13" s="66">
        <f>'Employee Data'!G14</f>
        <v/>
      </c>
      <c r="C13" s="66">
        <f>'Employee Data'!F14</f>
        <v/>
      </c>
      <c r="D13" s="68">
        <f>'Employee Data'!B14</f>
        <v/>
      </c>
      <c r="E13" s="68">
        <f>'Employee Data'!H14</f>
        <v/>
      </c>
      <c r="F13" s="78">
        <f>IFERROR('Employee Data'!D14/IF('Employee Data'!L14&gt;0,'Employee Data'!L14,'Employee Data'!D14*1.05),1)</f>
        <v/>
      </c>
      <c r="G13" s="68">
        <f>IF(A13="","",IF(D13&lt;=2,3,IF(D13=3,1,0))+IF(E13&lt;2,2,IF(E13&lt;4,1,0))+IF(F13&lt;0.9,2,IF(F13&lt;0.95,1,0)))</f>
        <v/>
      </c>
      <c r="H13" s="68">
        <f>IF(G13="","",IF(G13&gt;=5,"High",IF(G13&gt;=3,"Medium","Low")))</f>
        <v/>
      </c>
      <c r="I13" s="68">
        <f>IF(H13="High","Retention conversation + counter-offer review",IF(H13="Medium","Check-in + career development discussion","Continue monitoring"))</f>
        <v/>
      </c>
    </row>
    <row r="14">
      <c r="A14" s="61">
        <f>'Employee Data'!A15</f>
        <v/>
      </c>
      <c r="B14" s="61">
        <f>'Employee Data'!G15</f>
        <v/>
      </c>
      <c r="C14" s="61">
        <f>'Employee Data'!F15</f>
        <v/>
      </c>
      <c r="D14" s="63">
        <f>'Employee Data'!B15</f>
        <v/>
      </c>
      <c r="E14" s="63">
        <f>'Employee Data'!H15</f>
        <v/>
      </c>
      <c r="F14" s="77">
        <f>IFERROR('Employee Data'!D15/IF('Employee Data'!L15&gt;0,'Employee Data'!L15,'Employee Data'!D15*1.05),1)</f>
        <v/>
      </c>
      <c r="G14" s="63">
        <f>IF(A14="","",IF(D14&lt;=2,3,IF(D14=3,1,0))+IF(E14&lt;2,2,IF(E14&lt;4,1,0))+IF(F14&lt;0.9,2,IF(F14&lt;0.95,1,0)))</f>
        <v/>
      </c>
      <c r="H14" s="63">
        <f>IF(G14="","",IF(G14&gt;=5,"High",IF(G14&gt;=3,"Medium","Low")))</f>
        <v/>
      </c>
      <c r="I14" s="63">
        <f>IF(H14="High","Retention conversation + counter-offer review",IF(H14="Medium","Check-in + career development discussion","Continue monitoring"))</f>
        <v/>
      </c>
    </row>
    <row r="15">
      <c r="A15" s="66">
        <f>'Employee Data'!A16</f>
        <v/>
      </c>
      <c r="B15" s="66">
        <f>'Employee Data'!G16</f>
        <v/>
      </c>
      <c r="C15" s="66">
        <f>'Employee Data'!F16</f>
        <v/>
      </c>
      <c r="D15" s="68">
        <f>'Employee Data'!B16</f>
        <v/>
      </c>
      <c r="E15" s="68">
        <f>'Employee Data'!H16</f>
        <v/>
      </c>
      <c r="F15" s="78">
        <f>IFERROR('Employee Data'!D16/IF('Employee Data'!L16&gt;0,'Employee Data'!L16,'Employee Data'!D16*1.05),1)</f>
        <v/>
      </c>
      <c r="G15" s="68">
        <f>IF(A15="","",IF(D15&lt;=2,3,IF(D15=3,1,0))+IF(E15&lt;2,2,IF(E15&lt;4,1,0))+IF(F15&lt;0.9,2,IF(F15&lt;0.95,1,0)))</f>
        <v/>
      </c>
      <c r="H15" s="68">
        <f>IF(G15="","",IF(G15&gt;=5,"High",IF(G15&gt;=3,"Medium","Low")))</f>
        <v/>
      </c>
      <c r="I15" s="68">
        <f>IF(H15="High","Retention conversation + counter-offer review",IF(H15="Medium","Check-in + career development discussion","Continue monitoring"))</f>
        <v/>
      </c>
    </row>
    <row r="16">
      <c r="A16" s="61">
        <f>'Employee Data'!A17</f>
        <v/>
      </c>
      <c r="B16" s="61">
        <f>'Employee Data'!G17</f>
        <v/>
      </c>
      <c r="C16" s="61">
        <f>'Employee Data'!F17</f>
        <v/>
      </c>
      <c r="D16" s="63">
        <f>'Employee Data'!B17</f>
        <v/>
      </c>
      <c r="E16" s="63">
        <f>'Employee Data'!H17</f>
        <v/>
      </c>
      <c r="F16" s="77">
        <f>IFERROR('Employee Data'!D17/IF('Employee Data'!L17&gt;0,'Employee Data'!L17,'Employee Data'!D17*1.05),1)</f>
        <v/>
      </c>
      <c r="G16" s="63">
        <f>IF(A16="","",IF(D16&lt;=2,3,IF(D16=3,1,0))+IF(E16&lt;2,2,IF(E16&lt;4,1,0))+IF(F16&lt;0.9,2,IF(F16&lt;0.95,1,0)))</f>
        <v/>
      </c>
      <c r="H16" s="63">
        <f>IF(G16="","",IF(G16&gt;=5,"High",IF(G16&gt;=3,"Medium","Low")))</f>
        <v/>
      </c>
      <c r="I16" s="63">
        <f>IF(H16="High","Retention conversation + counter-offer review",IF(H16="Medium","Check-in + career development discussion","Continue monitoring"))</f>
        <v/>
      </c>
    </row>
    <row r="17">
      <c r="A17" s="66">
        <f>'Employee Data'!A18</f>
        <v/>
      </c>
      <c r="B17" s="66">
        <f>'Employee Data'!G18</f>
        <v/>
      </c>
      <c r="C17" s="66">
        <f>'Employee Data'!F18</f>
        <v/>
      </c>
      <c r="D17" s="68">
        <f>'Employee Data'!B18</f>
        <v/>
      </c>
      <c r="E17" s="68">
        <f>'Employee Data'!H18</f>
        <v/>
      </c>
      <c r="F17" s="78">
        <f>IFERROR('Employee Data'!D18/IF('Employee Data'!L18&gt;0,'Employee Data'!L18,'Employee Data'!D18*1.05),1)</f>
        <v/>
      </c>
      <c r="G17" s="68">
        <f>IF(A17="","",IF(D17&lt;=2,3,IF(D17=3,1,0))+IF(E17&lt;2,2,IF(E17&lt;4,1,0))+IF(F17&lt;0.9,2,IF(F17&lt;0.95,1,0)))</f>
        <v/>
      </c>
      <c r="H17" s="68">
        <f>IF(G17="","",IF(G17&gt;=5,"High",IF(G17&gt;=3,"Medium","Low")))</f>
        <v/>
      </c>
      <c r="I17" s="68">
        <f>IF(H17="High","Retention conversation + counter-offer review",IF(H17="Medium","Check-in + career development discussion","Continue monitoring"))</f>
        <v/>
      </c>
    </row>
    <row r="18">
      <c r="A18" s="61">
        <f>'Employee Data'!A19</f>
        <v/>
      </c>
      <c r="B18" s="61">
        <f>'Employee Data'!G19</f>
        <v/>
      </c>
      <c r="C18" s="61">
        <f>'Employee Data'!F19</f>
        <v/>
      </c>
      <c r="D18" s="63">
        <f>'Employee Data'!B19</f>
        <v/>
      </c>
      <c r="E18" s="63">
        <f>'Employee Data'!H19</f>
        <v/>
      </c>
      <c r="F18" s="77">
        <f>IFERROR('Employee Data'!D19/IF('Employee Data'!L19&gt;0,'Employee Data'!L19,'Employee Data'!D19*1.05),1)</f>
        <v/>
      </c>
      <c r="G18" s="63">
        <f>IF(A18="","",IF(D18&lt;=2,3,IF(D18=3,1,0))+IF(E18&lt;2,2,IF(E18&lt;4,1,0))+IF(F18&lt;0.9,2,IF(F18&lt;0.95,1,0)))</f>
        <v/>
      </c>
      <c r="H18" s="63">
        <f>IF(G18="","",IF(G18&gt;=5,"High",IF(G18&gt;=3,"Medium","Low")))</f>
        <v/>
      </c>
      <c r="I18" s="63">
        <f>IF(H18="High","Retention conversation + counter-offer review",IF(H18="Medium","Check-in + career development discussion","Continue monitoring"))</f>
        <v/>
      </c>
    </row>
    <row r="19">
      <c r="A19" s="66">
        <f>'Employee Data'!A20</f>
        <v/>
      </c>
      <c r="B19" s="66">
        <f>'Employee Data'!G20</f>
        <v/>
      </c>
      <c r="C19" s="66">
        <f>'Employee Data'!F20</f>
        <v/>
      </c>
      <c r="D19" s="68">
        <f>'Employee Data'!B20</f>
        <v/>
      </c>
      <c r="E19" s="68">
        <f>'Employee Data'!H20</f>
        <v/>
      </c>
      <c r="F19" s="78">
        <f>IFERROR('Employee Data'!D20/IF('Employee Data'!L20&gt;0,'Employee Data'!L20,'Employee Data'!D20*1.05),1)</f>
        <v/>
      </c>
      <c r="G19" s="68">
        <f>IF(A19="","",IF(D19&lt;=2,3,IF(D19=3,1,0))+IF(E19&lt;2,2,IF(E19&lt;4,1,0))+IF(F19&lt;0.9,2,IF(F19&lt;0.95,1,0)))</f>
        <v/>
      </c>
      <c r="H19" s="68">
        <f>IF(G19="","",IF(G19&gt;=5,"High",IF(G19&gt;=3,"Medium","Low")))</f>
        <v/>
      </c>
      <c r="I19" s="68">
        <f>IF(H19="High","Retention conversation + counter-offer review",IF(H19="Medium","Check-in + career development discussion","Continue monitoring"))</f>
        <v/>
      </c>
    </row>
    <row r="20">
      <c r="A20" s="61">
        <f>'Employee Data'!A21</f>
        <v/>
      </c>
      <c r="B20" s="61">
        <f>'Employee Data'!G21</f>
        <v/>
      </c>
      <c r="C20" s="61">
        <f>'Employee Data'!F21</f>
        <v/>
      </c>
      <c r="D20" s="63">
        <f>'Employee Data'!B21</f>
        <v/>
      </c>
      <c r="E20" s="63">
        <f>'Employee Data'!H21</f>
        <v/>
      </c>
      <c r="F20" s="77">
        <f>IFERROR('Employee Data'!D21/IF('Employee Data'!L21&gt;0,'Employee Data'!L21,'Employee Data'!D21*1.05),1)</f>
        <v/>
      </c>
      <c r="G20" s="63">
        <f>IF(A20="","",IF(D20&lt;=2,3,IF(D20=3,1,0))+IF(E20&lt;2,2,IF(E20&lt;4,1,0))+IF(F20&lt;0.9,2,IF(F20&lt;0.95,1,0)))</f>
        <v/>
      </c>
      <c r="H20" s="63">
        <f>IF(G20="","",IF(G20&gt;=5,"High",IF(G20&gt;=3,"Medium","Low")))</f>
        <v/>
      </c>
      <c r="I20" s="63">
        <f>IF(H20="High","Retention conversation + counter-offer review",IF(H20="Medium","Check-in + career development discussion","Continue monitoring"))</f>
        <v/>
      </c>
    </row>
    <row r="21">
      <c r="A21" s="66">
        <f>'Employee Data'!A22</f>
        <v/>
      </c>
      <c r="B21" s="66">
        <f>'Employee Data'!G22</f>
        <v/>
      </c>
      <c r="C21" s="66">
        <f>'Employee Data'!F22</f>
        <v/>
      </c>
      <c r="D21" s="68">
        <f>'Employee Data'!B22</f>
        <v/>
      </c>
      <c r="E21" s="68">
        <f>'Employee Data'!H22</f>
        <v/>
      </c>
      <c r="F21" s="78">
        <f>IFERROR('Employee Data'!D22/IF('Employee Data'!L22&gt;0,'Employee Data'!L22,'Employee Data'!D22*1.05),1)</f>
        <v/>
      </c>
      <c r="G21" s="68">
        <f>IF(A21="","",IF(D21&lt;=2,3,IF(D21=3,1,0))+IF(E21&lt;2,2,IF(E21&lt;4,1,0))+IF(F21&lt;0.9,2,IF(F21&lt;0.95,1,0)))</f>
        <v/>
      </c>
      <c r="H21" s="68">
        <f>IF(G21="","",IF(G21&gt;=5,"High",IF(G21&gt;=3,"Medium","Low")))</f>
        <v/>
      </c>
      <c r="I21" s="68">
        <f>IF(H21="High","Retention conversation + counter-offer review",IF(H21="Medium","Check-in + career development discussion","Continue monitoring"))</f>
        <v/>
      </c>
    </row>
    <row r="22">
      <c r="A22" s="61">
        <f>'Employee Data'!A23</f>
        <v/>
      </c>
      <c r="B22" s="61">
        <f>'Employee Data'!G23</f>
        <v/>
      </c>
      <c r="C22" s="61">
        <f>'Employee Data'!F23</f>
        <v/>
      </c>
      <c r="D22" s="63">
        <f>'Employee Data'!B23</f>
        <v/>
      </c>
      <c r="E22" s="63">
        <f>'Employee Data'!H23</f>
        <v/>
      </c>
      <c r="F22" s="77">
        <f>IFERROR('Employee Data'!D23/IF('Employee Data'!L23&gt;0,'Employee Data'!L23,'Employee Data'!D23*1.05),1)</f>
        <v/>
      </c>
      <c r="G22" s="63">
        <f>IF(A22="","",IF(D22&lt;=2,3,IF(D22=3,1,0))+IF(E22&lt;2,2,IF(E22&lt;4,1,0))+IF(F22&lt;0.9,2,IF(F22&lt;0.95,1,0)))</f>
        <v/>
      </c>
      <c r="H22" s="63">
        <f>IF(G22="","",IF(G22&gt;=5,"High",IF(G22&gt;=3,"Medium","Low")))</f>
        <v/>
      </c>
      <c r="I22" s="63">
        <f>IF(H22="High","Retention conversation + counter-offer review",IF(H22="Medium","Check-in + career development discussion","Continue monitoring"))</f>
        <v/>
      </c>
    </row>
    <row r="23">
      <c r="A23" s="66">
        <f>'Employee Data'!A24</f>
        <v/>
      </c>
      <c r="B23" s="66">
        <f>'Employee Data'!G24</f>
        <v/>
      </c>
      <c r="C23" s="66">
        <f>'Employee Data'!F24</f>
        <v/>
      </c>
      <c r="D23" s="68">
        <f>'Employee Data'!B24</f>
        <v/>
      </c>
      <c r="E23" s="68">
        <f>'Employee Data'!H24</f>
        <v/>
      </c>
      <c r="F23" s="78">
        <f>IFERROR('Employee Data'!D24/IF('Employee Data'!L24&gt;0,'Employee Data'!L24,'Employee Data'!D24*1.05),1)</f>
        <v/>
      </c>
      <c r="G23" s="68">
        <f>IF(A23="","",IF(D23&lt;=2,3,IF(D23=3,1,0))+IF(E23&lt;2,2,IF(E23&lt;4,1,0))+IF(F23&lt;0.9,2,IF(F23&lt;0.95,1,0)))</f>
        <v/>
      </c>
      <c r="H23" s="68">
        <f>IF(G23="","",IF(G23&gt;=5,"High",IF(G23&gt;=3,"Medium","Low")))</f>
        <v/>
      </c>
      <c r="I23" s="68">
        <f>IF(H23="High","Retention conversation + counter-offer review",IF(H23="Medium","Check-in + career development discussion","Continue monitoring"))</f>
        <v/>
      </c>
    </row>
    <row r="24">
      <c r="A24" s="61">
        <f>'Employee Data'!A25</f>
        <v/>
      </c>
      <c r="B24" s="61">
        <f>'Employee Data'!G25</f>
        <v/>
      </c>
      <c r="C24" s="61">
        <f>'Employee Data'!F25</f>
        <v/>
      </c>
      <c r="D24" s="63">
        <f>'Employee Data'!B25</f>
        <v/>
      </c>
      <c r="E24" s="63">
        <f>'Employee Data'!H25</f>
        <v/>
      </c>
      <c r="F24" s="77">
        <f>IFERROR('Employee Data'!D25/IF('Employee Data'!L25&gt;0,'Employee Data'!L25,'Employee Data'!D25*1.05),1)</f>
        <v/>
      </c>
      <c r="G24" s="63">
        <f>IF(A24="","",IF(D24&lt;=2,3,IF(D24=3,1,0))+IF(E24&lt;2,2,IF(E24&lt;4,1,0))+IF(F24&lt;0.9,2,IF(F24&lt;0.95,1,0)))</f>
        <v/>
      </c>
      <c r="H24" s="63">
        <f>IF(G24="","",IF(G24&gt;=5,"High",IF(G24&gt;=3,"Medium","Low")))</f>
        <v/>
      </c>
      <c r="I24" s="63">
        <f>IF(H24="High","Retention conversation + counter-offer review",IF(H24="Medium","Check-in + career development discussion","Continue monitoring"))</f>
        <v/>
      </c>
    </row>
    <row r="25">
      <c r="A25" s="66">
        <f>'Employee Data'!A26</f>
        <v/>
      </c>
      <c r="B25" s="66">
        <f>'Employee Data'!G26</f>
        <v/>
      </c>
      <c r="C25" s="66">
        <f>'Employee Data'!F26</f>
        <v/>
      </c>
      <c r="D25" s="68">
        <f>'Employee Data'!B26</f>
        <v/>
      </c>
      <c r="E25" s="68">
        <f>'Employee Data'!H26</f>
        <v/>
      </c>
      <c r="F25" s="78">
        <f>IFERROR('Employee Data'!D26/IF('Employee Data'!L26&gt;0,'Employee Data'!L26,'Employee Data'!D26*1.05),1)</f>
        <v/>
      </c>
      <c r="G25" s="68">
        <f>IF(A25="","",IF(D25&lt;=2,3,IF(D25=3,1,0))+IF(E25&lt;2,2,IF(E25&lt;4,1,0))+IF(F25&lt;0.9,2,IF(F25&lt;0.95,1,0)))</f>
        <v/>
      </c>
      <c r="H25" s="68">
        <f>IF(G25="","",IF(G25&gt;=5,"High",IF(G25&gt;=3,"Medium","Low")))</f>
        <v/>
      </c>
      <c r="I25" s="68">
        <f>IF(H25="High","Retention conversation + counter-offer review",IF(H25="Medium","Check-in + career development discussion","Continue monitoring"))</f>
        <v/>
      </c>
    </row>
    <row r="26">
      <c r="A26" s="61">
        <f>'Employee Data'!A27</f>
        <v/>
      </c>
      <c r="B26" s="61">
        <f>'Employee Data'!G27</f>
        <v/>
      </c>
      <c r="C26" s="61">
        <f>'Employee Data'!F27</f>
        <v/>
      </c>
      <c r="D26" s="63">
        <f>'Employee Data'!B27</f>
        <v/>
      </c>
      <c r="E26" s="63">
        <f>'Employee Data'!H27</f>
        <v/>
      </c>
      <c r="F26" s="77">
        <f>IFERROR('Employee Data'!D27/IF('Employee Data'!L27&gt;0,'Employee Data'!L27,'Employee Data'!D27*1.05),1)</f>
        <v/>
      </c>
      <c r="G26" s="63">
        <f>IF(A26="","",IF(D26&lt;=2,3,IF(D26=3,1,0))+IF(E26&lt;2,2,IF(E26&lt;4,1,0))+IF(F26&lt;0.9,2,IF(F26&lt;0.95,1,0)))</f>
        <v/>
      </c>
      <c r="H26" s="63">
        <f>IF(G26="","",IF(G26&gt;=5,"High",IF(G26&gt;=3,"Medium","Low")))</f>
        <v/>
      </c>
      <c r="I26" s="63">
        <f>IF(H26="High","Retention conversation + counter-offer review",IF(H26="Medium","Check-in + career development discussion","Continue monitoring"))</f>
        <v/>
      </c>
    </row>
    <row r="27">
      <c r="A27" s="66">
        <f>'Employee Data'!A28</f>
        <v/>
      </c>
      <c r="B27" s="66">
        <f>'Employee Data'!G28</f>
        <v/>
      </c>
      <c r="C27" s="66">
        <f>'Employee Data'!F28</f>
        <v/>
      </c>
      <c r="D27" s="68">
        <f>'Employee Data'!B28</f>
        <v/>
      </c>
      <c r="E27" s="68">
        <f>'Employee Data'!H28</f>
        <v/>
      </c>
      <c r="F27" s="78">
        <f>IFERROR('Employee Data'!D28/IF('Employee Data'!L28&gt;0,'Employee Data'!L28,'Employee Data'!D28*1.05),1)</f>
        <v/>
      </c>
      <c r="G27" s="68">
        <f>IF(A27="","",IF(D27&lt;=2,3,IF(D27=3,1,0))+IF(E27&lt;2,2,IF(E27&lt;4,1,0))+IF(F27&lt;0.9,2,IF(F27&lt;0.95,1,0)))</f>
        <v/>
      </c>
      <c r="H27" s="68">
        <f>IF(G27="","",IF(G27&gt;=5,"High",IF(G27&gt;=3,"Medium","Low")))</f>
        <v/>
      </c>
      <c r="I27" s="68">
        <f>IF(H27="High","Retention conversation + counter-offer review",IF(H27="Medium","Check-in + career development discussion","Continue monitoring"))</f>
        <v/>
      </c>
    </row>
    <row r="28">
      <c r="A28" s="61">
        <f>'Employee Data'!A29</f>
        <v/>
      </c>
      <c r="B28" s="61">
        <f>'Employee Data'!G29</f>
        <v/>
      </c>
      <c r="C28" s="61">
        <f>'Employee Data'!F29</f>
        <v/>
      </c>
      <c r="D28" s="63">
        <f>'Employee Data'!B29</f>
        <v/>
      </c>
      <c r="E28" s="63">
        <f>'Employee Data'!H29</f>
        <v/>
      </c>
      <c r="F28" s="77">
        <f>IFERROR('Employee Data'!D29/IF('Employee Data'!L29&gt;0,'Employee Data'!L29,'Employee Data'!D29*1.05),1)</f>
        <v/>
      </c>
      <c r="G28" s="63">
        <f>IF(A28="","",IF(D28&lt;=2,3,IF(D28=3,1,0))+IF(E28&lt;2,2,IF(E28&lt;4,1,0))+IF(F28&lt;0.9,2,IF(F28&lt;0.95,1,0)))</f>
        <v/>
      </c>
      <c r="H28" s="63">
        <f>IF(G28="","",IF(G28&gt;=5,"High",IF(G28&gt;=3,"Medium","Low")))</f>
        <v/>
      </c>
      <c r="I28" s="63">
        <f>IF(H28="High","Retention conversation + counter-offer review",IF(H28="Medium","Check-in + career development discussion","Continue monitoring"))</f>
        <v/>
      </c>
    </row>
    <row r="29">
      <c r="A29" s="66">
        <f>'Employee Data'!A30</f>
        <v/>
      </c>
      <c r="B29" s="66">
        <f>'Employee Data'!G30</f>
        <v/>
      </c>
      <c r="C29" s="66">
        <f>'Employee Data'!F30</f>
        <v/>
      </c>
      <c r="D29" s="68">
        <f>'Employee Data'!B30</f>
        <v/>
      </c>
      <c r="E29" s="68">
        <f>'Employee Data'!H30</f>
        <v/>
      </c>
      <c r="F29" s="78">
        <f>IFERROR('Employee Data'!D30/IF('Employee Data'!L30&gt;0,'Employee Data'!L30,'Employee Data'!D30*1.05),1)</f>
        <v/>
      </c>
      <c r="G29" s="68">
        <f>IF(A29="","",IF(D29&lt;=2,3,IF(D29=3,1,0))+IF(E29&lt;2,2,IF(E29&lt;4,1,0))+IF(F29&lt;0.9,2,IF(F29&lt;0.95,1,0)))</f>
        <v/>
      </c>
      <c r="H29" s="68">
        <f>IF(G29="","",IF(G29&gt;=5,"High",IF(G29&gt;=3,"Medium","Low")))</f>
        <v/>
      </c>
      <c r="I29" s="68">
        <f>IF(H29="High","Retention conversation + counter-offer review",IF(H29="Medium","Check-in + career development discussion","Continue monitoring"))</f>
        <v/>
      </c>
    </row>
    <row r="30">
      <c r="A30" s="61">
        <f>'Employee Data'!A31</f>
        <v/>
      </c>
      <c r="B30" s="61">
        <f>'Employee Data'!G31</f>
        <v/>
      </c>
      <c r="C30" s="61">
        <f>'Employee Data'!F31</f>
        <v/>
      </c>
      <c r="D30" s="63">
        <f>'Employee Data'!B31</f>
        <v/>
      </c>
      <c r="E30" s="63">
        <f>'Employee Data'!H31</f>
        <v/>
      </c>
      <c r="F30" s="77">
        <f>IFERROR('Employee Data'!D31/IF('Employee Data'!L31&gt;0,'Employee Data'!L31,'Employee Data'!D31*1.05),1)</f>
        <v/>
      </c>
      <c r="G30" s="63">
        <f>IF(A30="","",IF(D30&lt;=2,3,IF(D30=3,1,0))+IF(E30&lt;2,2,IF(E30&lt;4,1,0))+IF(F30&lt;0.9,2,IF(F30&lt;0.95,1,0)))</f>
        <v/>
      </c>
      <c r="H30" s="63">
        <f>IF(G30="","",IF(G30&gt;=5,"High",IF(G30&gt;=3,"Medium","Low")))</f>
        <v/>
      </c>
      <c r="I30" s="63">
        <f>IF(H30="High","Retention conversation + counter-offer review",IF(H30="Medium","Check-in + career development discussion","Continue monitoring"))</f>
        <v/>
      </c>
    </row>
    <row r="31">
      <c r="A31" s="66">
        <f>'Employee Data'!A32</f>
        <v/>
      </c>
      <c r="B31" s="66">
        <f>'Employee Data'!G32</f>
        <v/>
      </c>
      <c r="C31" s="66">
        <f>'Employee Data'!F32</f>
        <v/>
      </c>
      <c r="D31" s="68">
        <f>'Employee Data'!B32</f>
        <v/>
      </c>
      <c r="E31" s="68">
        <f>'Employee Data'!H32</f>
        <v/>
      </c>
      <c r="F31" s="78">
        <f>IFERROR('Employee Data'!D32/IF('Employee Data'!L32&gt;0,'Employee Data'!L32,'Employee Data'!D32*1.05),1)</f>
        <v/>
      </c>
      <c r="G31" s="68">
        <f>IF(A31="","",IF(D31&lt;=2,3,IF(D31=3,1,0))+IF(E31&lt;2,2,IF(E31&lt;4,1,0))+IF(F31&lt;0.9,2,IF(F31&lt;0.95,1,0)))</f>
        <v/>
      </c>
      <c r="H31" s="68">
        <f>IF(G31="","",IF(G31&gt;=5,"High",IF(G31&gt;=3,"Medium","Low")))</f>
        <v/>
      </c>
      <c r="I31" s="68">
        <f>IF(H31="High","Retention conversation + counter-offer review",IF(H31="Medium","Check-in + career development discussion","Continue monitoring"))</f>
        <v/>
      </c>
    </row>
    <row r="32">
      <c r="A32" s="61">
        <f>'Employee Data'!A33</f>
        <v/>
      </c>
      <c r="B32" s="61">
        <f>'Employee Data'!G33</f>
        <v/>
      </c>
      <c r="C32" s="61">
        <f>'Employee Data'!F33</f>
        <v/>
      </c>
      <c r="D32" s="63">
        <f>'Employee Data'!B33</f>
        <v/>
      </c>
      <c r="E32" s="63">
        <f>'Employee Data'!H33</f>
        <v/>
      </c>
      <c r="F32" s="77">
        <f>IFERROR('Employee Data'!D33/IF('Employee Data'!L33&gt;0,'Employee Data'!L33,'Employee Data'!D33*1.05),1)</f>
        <v/>
      </c>
      <c r="G32" s="63">
        <f>IF(A32="","",IF(D32&lt;=2,3,IF(D32=3,1,0))+IF(E32&lt;2,2,IF(E32&lt;4,1,0))+IF(F32&lt;0.9,2,IF(F32&lt;0.95,1,0)))</f>
        <v/>
      </c>
      <c r="H32" s="63">
        <f>IF(G32="","",IF(G32&gt;=5,"High",IF(G32&gt;=3,"Medium","Low")))</f>
        <v/>
      </c>
      <c r="I32" s="63">
        <f>IF(H32="High","Retention conversation + counter-offer review",IF(H32="Medium","Check-in + career development discussion","Continue monitoring"))</f>
        <v/>
      </c>
    </row>
    <row r="33">
      <c r="A33" s="66">
        <f>'Employee Data'!A34</f>
        <v/>
      </c>
      <c r="B33" s="66">
        <f>'Employee Data'!G34</f>
        <v/>
      </c>
      <c r="C33" s="66">
        <f>'Employee Data'!F34</f>
        <v/>
      </c>
      <c r="D33" s="68">
        <f>'Employee Data'!B34</f>
        <v/>
      </c>
      <c r="E33" s="68">
        <f>'Employee Data'!H34</f>
        <v/>
      </c>
      <c r="F33" s="78">
        <f>IFERROR('Employee Data'!D34/IF('Employee Data'!L34&gt;0,'Employee Data'!L34,'Employee Data'!D34*1.05),1)</f>
        <v/>
      </c>
      <c r="G33" s="68">
        <f>IF(A33="","",IF(D33&lt;=2,3,IF(D33=3,1,0))+IF(E33&lt;2,2,IF(E33&lt;4,1,0))+IF(F33&lt;0.9,2,IF(F33&lt;0.95,1,0)))</f>
        <v/>
      </c>
      <c r="H33" s="68">
        <f>IF(G33="","",IF(G33&gt;=5,"High",IF(G33&gt;=3,"Medium","Low")))</f>
        <v/>
      </c>
      <c r="I33" s="68">
        <f>IF(H33="High","Retention conversation + counter-offer review",IF(H33="Medium","Check-in + career development discussion","Continue monitoring"))</f>
        <v/>
      </c>
    </row>
    <row r="34">
      <c r="A34" s="61">
        <f>'Employee Data'!A35</f>
        <v/>
      </c>
      <c r="B34" s="61">
        <f>'Employee Data'!G35</f>
        <v/>
      </c>
      <c r="C34" s="61">
        <f>'Employee Data'!F35</f>
        <v/>
      </c>
      <c r="D34" s="63">
        <f>'Employee Data'!B35</f>
        <v/>
      </c>
      <c r="E34" s="63">
        <f>'Employee Data'!H35</f>
        <v/>
      </c>
      <c r="F34" s="77">
        <f>IFERROR('Employee Data'!D35/IF('Employee Data'!L35&gt;0,'Employee Data'!L35,'Employee Data'!D35*1.05),1)</f>
        <v/>
      </c>
      <c r="G34" s="63">
        <f>IF(A34="","",IF(D34&lt;=2,3,IF(D34=3,1,0))+IF(E34&lt;2,2,IF(E34&lt;4,1,0))+IF(F34&lt;0.9,2,IF(F34&lt;0.95,1,0)))</f>
        <v/>
      </c>
      <c r="H34" s="63">
        <f>IF(G34="","",IF(G34&gt;=5,"High",IF(G34&gt;=3,"Medium","Low")))</f>
        <v/>
      </c>
      <c r="I34" s="63">
        <f>IF(H34="High","Retention conversation + counter-offer review",IF(H34="Medium","Check-in + career development discussion","Continue monitoring"))</f>
        <v/>
      </c>
    </row>
    <row r="35">
      <c r="A35" s="66">
        <f>'Employee Data'!A36</f>
        <v/>
      </c>
      <c r="B35" s="66">
        <f>'Employee Data'!G36</f>
        <v/>
      </c>
      <c r="C35" s="66">
        <f>'Employee Data'!F36</f>
        <v/>
      </c>
      <c r="D35" s="68">
        <f>'Employee Data'!B36</f>
        <v/>
      </c>
      <c r="E35" s="68">
        <f>'Employee Data'!H36</f>
        <v/>
      </c>
      <c r="F35" s="78">
        <f>IFERROR('Employee Data'!D36/IF('Employee Data'!L36&gt;0,'Employee Data'!L36,'Employee Data'!D36*1.05),1)</f>
        <v/>
      </c>
      <c r="G35" s="68">
        <f>IF(A35="","",IF(D35&lt;=2,3,IF(D35=3,1,0))+IF(E35&lt;2,2,IF(E35&lt;4,1,0))+IF(F35&lt;0.9,2,IF(F35&lt;0.95,1,0)))</f>
        <v/>
      </c>
      <c r="H35" s="68">
        <f>IF(G35="","",IF(G35&gt;=5,"High",IF(G35&gt;=3,"Medium","Low")))</f>
        <v/>
      </c>
      <c r="I35" s="68">
        <f>IF(H35="High","Retention conversation + counter-offer review",IF(H35="Medium","Check-in + career development discussion","Continue monitoring"))</f>
        <v/>
      </c>
    </row>
    <row r="36">
      <c r="A36" s="61">
        <f>'Employee Data'!A37</f>
        <v/>
      </c>
      <c r="B36" s="61">
        <f>'Employee Data'!G37</f>
        <v/>
      </c>
      <c r="C36" s="61">
        <f>'Employee Data'!F37</f>
        <v/>
      </c>
      <c r="D36" s="63">
        <f>'Employee Data'!B37</f>
        <v/>
      </c>
      <c r="E36" s="63">
        <f>'Employee Data'!H37</f>
        <v/>
      </c>
      <c r="F36" s="77">
        <f>IFERROR('Employee Data'!D37/IF('Employee Data'!L37&gt;0,'Employee Data'!L37,'Employee Data'!D37*1.05),1)</f>
        <v/>
      </c>
      <c r="G36" s="63">
        <f>IF(A36="","",IF(D36&lt;=2,3,IF(D36=3,1,0))+IF(E36&lt;2,2,IF(E36&lt;4,1,0))+IF(F36&lt;0.9,2,IF(F36&lt;0.95,1,0)))</f>
        <v/>
      </c>
      <c r="H36" s="63">
        <f>IF(G36="","",IF(G36&gt;=5,"High",IF(G36&gt;=3,"Medium","Low")))</f>
        <v/>
      </c>
      <c r="I36" s="63">
        <f>IF(H36="High","Retention conversation + counter-offer review",IF(H36="Medium","Check-in + career development discussion","Continue monitoring"))</f>
        <v/>
      </c>
    </row>
    <row r="37">
      <c r="A37" s="66">
        <f>'Employee Data'!A38</f>
        <v/>
      </c>
      <c r="B37" s="66">
        <f>'Employee Data'!G38</f>
        <v/>
      </c>
      <c r="C37" s="66">
        <f>'Employee Data'!F38</f>
        <v/>
      </c>
      <c r="D37" s="68">
        <f>'Employee Data'!B38</f>
        <v/>
      </c>
      <c r="E37" s="68">
        <f>'Employee Data'!H38</f>
        <v/>
      </c>
      <c r="F37" s="78">
        <f>IFERROR('Employee Data'!D38/IF('Employee Data'!L38&gt;0,'Employee Data'!L38,'Employee Data'!D38*1.05),1)</f>
        <v/>
      </c>
      <c r="G37" s="68">
        <f>IF(A37="","",IF(D37&lt;=2,3,IF(D37=3,1,0))+IF(E37&lt;2,2,IF(E37&lt;4,1,0))+IF(F37&lt;0.9,2,IF(F37&lt;0.95,1,0)))</f>
        <v/>
      </c>
      <c r="H37" s="68">
        <f>IF(G37="","",IF(G37&gt;=5,"High",IF(G37&gt;=3,"Medium","Low")))</f>
        <v/>
      </c>
      <c r="I37" s="68">
        <f>IF(H37="High","Retention conversation + counter-offer review",IF(H37="Medium","Check-in + career development discussion","Continue monitoring"))</f>
        <v/>
      </c>
    </row>
    <row r="38">
      <c r="A38" s="61">
        <f>'Employee Data'!A39</f>
        <v/>
      </c>
      <c r="B38" s="61">
        <f>'Employee Data'!G39</f>
        <v/>
      </c>
      <c r="C38" s="61">
        <f>'Employee Data'!F39</f>
        <v/>
      </c>
      <c r="D38" s="63">
        <f>'Employee Data'!B39</f>
        <v/>
      </c>
      <c r="E38" s="63">
        <f>'Employee Data'!H39</f>
        <v/>
      </c>
      <c r="F38" s="77">
        <f>IFERROR('Employee Data'!D39/IF('Employee Data'!L39&gt;0,'Employee Data'!L39,'Employee Data'!D39*1.05),1)</f>
        <v/>
      </c>
      <c r="G38" s="63">
        <f>IF(A38="","",IF(D38&lt;=2,3,IF(D38=3,1,0))+IF(E38&lt;2,2,IF(E38&lt;4,1,0))+IF(F38&lt;0.9,2,IF(F38&lt;0.95,1,0)))</f>
        <v/>
      </c>
      <c r="H38" s="63">
        <f>IF(G38="","",IF(G38&gt;=5,"High",IF(G38&gt;=3,"Medium","Low")))</f>
        <v/>
      </c>
      <c r="I38" s="63">
        <f>IF(H38="High","Retention conversation + counter-offer review",IF(H38="Medium","Check-in + career development discussion","Continue monitoring"))</f>
        <v/>
      </c>
    </row>
    <row r="39">
      <c r="A39" s="66">
        <f>'Employee Data'!A40</f>
        <v/>
      </c>
      <c r="B39" s="66">
        <f>'Employee Data'!G40</f>
        <v/>
      </c>
      <c r="C39" s="66">
        <f>'Employee Data'!F40</f>
        <v/>
      </c>
      <c r="D39" s="68">
        <f>'Employee Data'!B40</f>
        <v/>
      </c>
      <c r="E39" s="68">
        <f>'Employee Data'!H40</f>
        <v/>
      </c>
      <c r="F39" s="78">
        <f>IFERROR('Employee Data'!D40/IF('Employee Data'!L40&gt;0,'Employee Data'!L40,'Employee Data'!D40*1.05),1)</f>
        <v/>
      </c>
      <c r="G39" s="68">
        <f>IF(A39="","",IF(D39&lt;=2,3,IF(D39=3,1,0))+IF(E39&lt;2,2,IF(E39&lt;4,1,0))+IF(F39&lt;0.9,2,IF(F39&lt;0.95,1,0)))</f>
        <v/>
      </c>
      <c r="H39" s="68">
        <f>IF(G39="","",IF(G39&gt;=5,"High",IF(G39&gt;=3,"Medium","Low")))</f>
        <v/>
      </c>
      <c r="I39" s="68">
        <f>IF(H39="High","Retention conversation + counter-offer review",IF(H39="Medium","Check-in + career development discussion","Continue monitoring"))</f>
        <v/>
      </c>
    </row>
    <row r="40">
      <c r="A40" s="61">
        <f>'Employee Data'!A41</f>
        <v/>
      </c>
      <c r="B40" s="61">
        <f>'Employee Data'!G41</f>
        <v/>
      </c>
      <c r="C40" s="61">
        <f>'Employee Data'!F41</f>
        <v/>
      </c>
      <c r="D40" s="63">
        <f>'Employee Data'!B41</f>
        <v/>
      </c>
      <c r="E40" s="63">
        <f>'Employee Data'!H41</f>
        <v/>
      </c>
      <c r="F40" s="77">
        <f>IFERROR('Employee Data'!D41/IF('Employee Data'!L41&gt;0,'Employee Data'!L41,'Employee Data'!D41*1.05),1)</f>
        <v/>
      </c>
      <c r="G40" s="63">
        <f>IF(A40="","",IF(D40&lt;=2,3,IF(D40=3,1,0))+IF(E40&lt;2,2,IF(E40&lt;4,1,0))+IF(F40&lt;0.9,2,IF(F40&lt;0.95,1,0)))</f>
        <v/>
      </c>
      <c r="H40" s="63">
        <f>IF(G40="","",IF(G40&gt;=5,"High",IF(G40&gt;=3,"Medium","Low")))</f>
        <v/>
      </c>
      <c r="I40" s="63">
        <f>IF(H40="High","Retention conversation + counter-offer review",IF(H40="Medium","Check-in + career development discussion","Continue monitoring"))</f>
        <v/>
      </c>
    </row>
    <row r="41">
      <c r="A41" s="66">
        <f>'Employee Data'!A42</f>
        <v/>
      </c>
      <c r="B41" s="66">
        <f>'Employee Data'!G42</f>
        <v/>
      </c>
      <c r="C41" s="66">
        <f>'Employee Data'!F42</f>
        <v/>
      </c>
      <c r="D41" s="68">
        <f>'Employee Data'!B42</f>
        <v/>
      </c>
      <c r="E41" s="68">
        <f>'Employee Data'!H42</f>
        <v/>
      </c>
      <c r="F41" s="78">
        <f>IFERROR('Employee Data'!D42/IF('Employee Data'!L42&gt;0,'Employee Data'!L42,'Employee Data'!D42*1.05),1)</f>
        <v/>
      </c>
      <c r="G41" s="68">
        <f>IF(A41="","",IF(D41&lt;=2,3,IF(D41=3,1,0))+IF(E41&lt;2,2,IF(E41&lt;4,1,0))+IF(F41&lt;0.9,2,IF(F41&lt;0.95,1,0)))</f>
        <v/>
      </c>
      <c r="H41" s="68">
        <f>IF(G41="","",IF(G41&gt;=5,"High",IF(G41&gt;=3,"Medium","Low")))</f>
        <v/>
      </c>
      <c r="I41" s="68">
        <f>IF(H41="High","Retention conversation + counter-offer review",IF(H41="Medium","Check-in + career development discussion","Continue monitoring"))</f>
        <v/>
      </c>
    </row>
    <row r="42">
      <c r="A42" s="61">
        <f>'Employee Data'!A43</f>
        <v/>
      </c>
      <c r="B42" s="61">
        <f>'Employee Data'!G43</f>
        <v/>
      </c>
      <c r="C42" s="61">
        <f>'Employee Data'!F43</f>
        <v/>
      </c>
      <c r="D42" s="63">
        <f>'Employee Data'!B43</f>
        <v/>
      </c>
      <c r="E42" s="63">
        <f>'Employee Data'!H43</f>
        <v/>
      </c>
      <c r="F42" s="77">
        <f>IFERROR('Employee Data'!D43/IF('Employee Data'!L43&gt;0,'Employee Data'!L43,'Employee Data'!D43*1.05),1)</f>
        <v/>
      </c>
      <c r="G42" s="63">
        <f>IF(A42="","",IF(D42&lt;=2,3,IF(D42=3,1,0))+IF(E42&lt;2,2,IF(E42&lt;4,1,0))+IF(F42&lt;0.9,2,IF(F42&lt;0.95,1,0)))</f>
        <v/>
      </c>
      <c r="H42" s="63">
        <f>IF(G42="","",IF(G42&gt;=5,"High",IF(G42&gt;=3,"Medium","Low")))</f>
        <v/>
      </c>
      <c r="I42" s="63">
        <f>IF(H42="High","Retention conversation + counter-offer review",IF(H42="Medium","Check-in + career development discussion","Continue monitoring"))</f>
        <v/>
      </c>
    </row>
    <row r="43">
      <c r="A43" s="66">
        <f>'Employee Data'!A44</f>
        <v/>
      </c>
      <c r="B43" s="66">
        <f>'Employee Data'!G44</f>
        <v/>
      </c>
      <c r="C43" s="66">
        <f>'Employee Data'!F44</f>
        <v/>
      </c>
      <c r="D43" s="68">
        <f>'Employee Data'!B44</f>
        <v/>
      </c>
      <c r="E43" s="68">
        <f>'Employee Data'!H44</f>
        <v/>
      </c>
      <c r="F43" s="78">
        <f>IFERROR('Employee Data'!D44/IF('Employee Data'!L44&gt;0,'Employee Data'!L44,'Employee Data'!D44*1.05),1)</f>
        <v/>
      </c>
      <c r="G43" s="68">
        <f>IF(A43="","",IF(D43&lt;=2,3,IF(D43=3,1,0))+IF(E43&lt;2,2,IF(E43&lt;4,1,0))+IF(F43&lt;0.9,2,IF(F43&lt;0.95,1,0)))</f>
        <v/>
      </c>
      <c r="H43" s="68">
        <f>IF(G43="","",IF(G43&gt;=5,"High",IF(G43&gt;=3,"Medium","Low")))</f>
        <v/>
      </c>
      <c r="I43" s="68">
        <f>IF(H43="High","Retention conversation + counter-offer review",IF(H43="Medium","Check-in + career development discussion","Continue monitoring"))</f>
        <v/>
      </c>
    </row>
    <row r="44">
      <c r="A44" s="61">
        <f>'Employee Data'!A45</f>
        <v/>
      </c>
      <c r="B44" s="61">
        <f>'Employee Data'!G45</f>
        <v/>
      </c>
      <c r="C44" s="61">
        <f>'Employee Data'!F45</f>
        <v/>
      </c>
      <c r="D44" s="63">
        <f>'Employee Data'!B45</f>
        <v/>
      </c>
      <c r="E44" s="63">
        <f>'Employee Data'!H45</f>
        <v/>
      </c>
      <c r="F44" s="77">
        <f>IFERROR('Employee Data'!D45/IF('Employee Data'!L45&gt;0,'Employee Data'!L45,'Employee Data'!D45*1.05),1)</f>
        <v/>
      </c>
      <c r="G44" s="63">
        <f>IF(A44="","",IF(D44&lt;=2,3,IF(D44=3,1,0))+IF(E44&lt;2,2,IF(E44&lt;4,1,0))+IF(F44&lt;0.9,2,IF(F44&lt;0.95,1,0)))</f>
        <v/>
      </c>
      <c r="H44" s="63">
        <f>IF(G44="","",IF(G44&gt;=5,"High",IF(G44&gt;=3,"Medium","Low")))</f>
        <v/>
      </c>
      <c r="I44" s="63">
        <f>IF(H44="High","Retention conversation + counter-offer review",IF(H44="Medium","Check-in + career development discussion","Continue monitoring"))</f>
        <v/>
      </c>
    </row>
    <row r="45">
      <c r="A45" s="66">
        <f>'Employee Data'!A46</f>
        <v/>
      </c>
      <c r="B45" s="66">
        <f>'Employee Data'!G46</f>
        <v/>
      </c>
      <c r="C45" s="66">
        <f>'Employee Data'!F46</f>
        <v/>
      </c>
      <c r="D45" s="68">
        <f>'Employee Data'!B46</f>
        <v/>
      </c>
      <c r="E45" s="68">
        <f>'Employee Data'!H46</f>
        <v/>
      </c>
      <c r="F45" s="78">
        <f>IFERROR('Employee Data'!D46/IF('Employee Data'!L46&gt;0,'Employee Data'!L46,'Employee Data'!D46*1.05),1)</f>
        <v/>
      </c>
      <c r="G45" s="68">
        <f>IF(A45="","",IF(D45&lt;=2,3,IF(D45=3,1,0))+IF(E45&lt;2,2,IF(E45&lt;4,1,0))+IF(F45&lt;0.9,2,IF(F45&lt;0.95,1,0)))</f>
        <v/>
      </c>
      <c r="H45" s="68">
        <f>IF(G45="","",IF(G45&gt;=5,"High",IF(G45&gt;=3,"Medium","Low")))</f>
        <v/>
      </c>
      <c r="I45" s="68">
        <f>IF(H45="High","Retention conversation + counter-offer review",IF(H45="Medium","Check-in + career development discussion","Continue monitoring"))</f>
        <v/>
      </c>
    </row>
    <row r="46">
      <c r="A46" s="61">
        <f>'Employee Data'!A47</f>
        <v/>
      </c>
      <c r="B46" s="61">
        <f>'Employee Data'!G47</f>
        <v/>
      </c>
      <c r="C46" s="61">
        <f>'Employee Data'!F47</f>
        <v/>
      </c>
      <c r="D46" s="63">
        <f>'Employee Data'!B47</f>
        <v/>
      </c>
      <c r="E46" s="63">
        <f>'Employee Data'!H47</f>
        <v/>
      </c>
      <c r="F46" s="77">
        <f>IFERROR('Employee Data'!D47/IF('Employee Data'!L47&gt;0,'Employee Data'!L47,'Employee Data'!D47*1.05),1)</f>
        <v/>
      </c>
      <c r="G46" s="63">
        <f>IF(A46="","",IF(D46&lt;=2,3,IF(D46=3,1,0))+IF(E46&lt;2,2,IF(E46&lt;4,1,0))+IF(F46&lt;0.9,2,IF(F46&lt;0.95,1,0)))</f>
        <v/>
      </c>
      <c r="H46" s="63">
        <f>IF(G46="","",IF(G46&gt;=5,"High",IF(G46&gt;=3,"Medium","Low")))</f>
        <v/>
      </c>
      <c r="I46" s="63">
        <f>IF(H46="High","Retention conversation + counter-offer review",IF(H46="Medium","Check-in + career development discussion","Continue monitoring"))</f>
        <v/>
      </c>
    </row>
    <row r="47">
      <c r="A47" s="66">
        <f>'Employee Data'!A48</f>
        <v/>
      </c>
      <c r="B47" s="66">
        <f>'Employee Data'!G48</f>
        <v/>
      </c>
      <c r="C47" s="66">
        <f>'Employee Data'!F48</f>
        <v/>
      </c>
      <c r="D47" s="68">
        <f>'Employee Data'!B48</f>
        <v/>
      </c>
      <c r="E47" s="68">
        <f>'Employee Data'!H48</f>
        <v/>
      </c>
      <c r="F47" s="78">
        <f>IFERROR('Employee Data'!D48/IF('Employee Data'!L48&gt;0,'Employee Data'!L48,'Employee Data'!D48*1.05),1)</f>
        <v/>
      </c>
      <c r="G47" s="68">
        <f>IF(A47="","",IF(D47&lt;=2,3,IF(D47=3,1,0))+IF(E47&lt;2,2,IF(E47&lt;4,1,0))+IF(F47&lt;0.9,2,IF(F47&lt;0.95,1,0)))</f>
        <v/>
      </c>
      <c r="H47" s="68">
        <f>IF(G47="","",IF(G47&gt;=5,"High",IF(G47&gt;=3,"Medium","Low")))</f>
        <v/>
      </c>
      <c r="I47" s="68">
        <f>IF(H47="High","Retention conversation + counter-offer review",IF(H47="Medium","Check-in + career development discussion","Continue monitoring"))</f>
        <v/>
      </c>
    </row>
    <row r="48">
      <c r="A48" s="61">
        <f>'Employee Data'!A49</f>
        <v/>
      </c>
      <c r="B48" s="61">
        <f>'Employee Data'!G49</f>
        <v/>
      </c>
      <c r="C48" s="61">
        <f>'Employee Data'!F49</f>
        <v/>
      </c>
      <c r="D48" s="63">
        <f>'Employee Data'!B49</f>
        <v/>
      </c>
      <c r="E48" s="63">
        <f>'Employee Data'!H49</f>
        <v/>
      </c>
      <c r="F48" s="77">
        <f>IFERROR('Employee Data'!D49/IF('Employee Data'!L49&gt;0,'Employee Data'!L49,'Employee Data'!D49*1.05),1)</f>
        <v/>
      </c>
      <c r="G48" s="63">
        <f>IF(A48="","",IF(D48&lt;=2,3,IF(D48=3,1,0))+IF(E48&lt;2,2,IF(E48&lt;4,1,0))+IF(F48&lt;0.9,2,IF(F48&lt;0.95,1,0)))</f>
        <v/>
      </c>
      <c r="H48" s="63">
        <f>IF(G48="","",IF(G48&gt;=5,"High",IF(G48&gt;=3,"Medium","Low")))</f>
        <v/>
      </c>
      <c r="I48" s="63">
        <f>IF(H48="High","Retention conversation + counter-offer review",IF(H48="Medium","Check-in + career development discussion","Continue monitoring"))</f>
        <v/>
      </c>
    </row>
    <row r="49">
      <c r="A49" s="66">
        <f>'Employee Data'!A50</f>
        <v/>
      </c>
      <c r="B49" s="66">
        <f>'Employee Data'!G50</f>
        <v/>
      </c>
      <c r="C49" s="66">
        <f>'Employee Data'!F50</f>
        <v/>
      </c>
      <c r="D49" s="68">
        <f>'Employee Data'!B50</f>
        <v/>
      </c>
      <c r="E49" s="68">
        <f>'Employee Data'!H50</f>
        <v/>
      </c>
      <c r="F49" s="78">
        <f>IFERROR('Employee Data'!D50/IF('Employee Data'!L50&gt;0,'Employee Data'!L50,'Employee Data'!D50*1.05),1)</f>
        <v/>
      </c>
      <c r="G49" s="68">
        <f>IF(A49="","",IF(D49&lt;=2,3,IF(D49=3,1,0))+IF(E49&lt;2,2,IF(E49&lt;4,1,0))+IF(F49&lt;0.9,2,IF(F49&lt;0.95,1,0)))</f>
        <v/>
      </c>
      <c r="H49" s="68">
        <f>IF(G49="","",IF(G49&gt;=5,"High",IF(G49&gt;=3,"Medium","Low")))</f>
        <v/>
      </c>
      <c r="I49" s="68">
        <f>IF(H49="High","Retention conversation + counter-offer review",IF(H49="Medium","Check-in + career development discussion","Continue monitoring"))</f>
        <v/>
      </c>
    </row>
    <row r="50">
      <c r="A50" s="61">
        <f>'Employee Data'!A51</f>
        <v/>
      </c>
      <c r="B50" s="61">
        <f>'Employee Data'!G51</f>
        <v/>
      </c>
      <c r="C50" s="61">
        <f>'Employee Data'!F51</f>
        <v/>
      </c>
      <c r="D50" s="63">
        <f>'Employee Data'!B51</f>
        <v/>
      </c>
      <c r="E50" s="63">
        <f>'Employee Data'!H51</f>
        <v/>
      </c>
      <c r="F50" s="77">
        <f>IFERROR('Employee Data'!D51/IF('Employee Data'!L51&gt;0,'Employee Data'!L51,'Employee Data'!D51*1.05),1)</f>
        <v/>
      </c>
      <c r="G50" s="63">
        <f>IF(A50="","",IF(D50&lt;=2,3,IF(D50=3,1,0))+IF(E50&lt;2,2,IF(E50&lt;4,1,0))+IF(F50&lt;0.9,2,IF(F50&lt;0.95,1,0)))</f>
        <v/>
      </c>
      <c r="H50" s="63">
        <f>IF(G50="","",IF(G50&gt;=5,"High",IF(G50&gt;=3,"Medium","Low")))</f>
        <v/>
      </c>
      <c r="I50" s="63">
        <f>IF(H50="High","Retention conversation + counter-offer review",IF(H50="Medium","Check-in + career development discussion","Continue monitoring"))</f>
        <v/>
      </c>
    </row>
    <row r="51">
      <c r="A51" s="66">
        <f>'Employee Data'!A52</f>
        <v/>
      </c>
      <c r="B51" s="66">
        <f>'Employee Data'!G52</f>
        <v/>
      </c>
      <c r="C51" s="66">
        <f>'Employee Data'!F52</f>
        <v/>
      </c>
      <c r="D51" s="68">
        <f>'Employee Data'!B52</f>
        <v/>
      </c>
      <c r="E51" s="68">
        <f>'Employee Data'!H52</f>
        <v/>
      </c>
      <c r="F51" s="78">
        <f>IFERROR('Employee Data'!D52/IF('Employee Data'!L52&gt;0,'Employee Data'!L52,'Employee Data'!D52*1.05),1)</f>
        <v/>
      </c>
      <c r="G51" s="68">
        <f>IF(A51="","",IF(D51&lt;=2,3,IF(D51=3,1,0))+IF(E51&lt;2,2,IF(E51&lt;4,1,0))+IF(F51&lt;0.9,2,IF(F51&lt;0.95,1,0)))</f>
        <v/>
      </c>
      <c r="H51" s="68">
        <f>IF(G51="","",IF(G51&gt;=5,"High",IF(G51&gt;=3,"Medium","Low")))</f>
        <v/>
      </c>
      <c r="I51" s="68">
        <f>IF(H51="High","Retention conversation + counter-offer review",IF(H51="Medium","Check-in + career development discussion","Continue monitoring"))</f>
        <v/>
      </c>
    </row>
    <row r="52">
      <c r="A52" s="61">
        <f>'Employee Data'!A53</f>
        <v/>
      </c>
      <c r="B52" s="61">
        <f>'Employee Data'!G53</f>
        <v/>
      </c>
      <c r="C52" s="61">
        <f>'Employee Data'!F53</f>
        <v/>
      </c>
      <c r="D52" s="63">
        <f>'Employee Data'!B53</f>
        <v/>
      </c>
      <c r="E52" s="63">
        <f>'Employee Data'!H53</f>
        <v/>
      </c>
      <c r="F52" s="77">
        <f>IFERROR('Employee Data'!D53/IF('Employee Data'!L53&gt;0,'Employee Data'!L53,'Employee Data'!D53*1.05),1)</f>
        <v/>
      </c>
      <c r="G52" s="63">
        <f>IF(A52="","",IF(D52&lt;=2,3,IF(D52=3,1,0))+IF(E52&lt;2,2,IF(E52&lt;4,1,0))+IF(F52&lt;0.9,2,IF(F52&lt;0.95,1,0)))</f>
        <v/>
      </c>
      <c r="H52" s="63">
        <f>IF(G52="","",IF(G52&gt;=5,"High",IF(G52&gt;=3,"Medium","Low")))</f>
        <v/>
      </c>
      <c r="I52" s="63">
        <f>IF(H52="High","Retention conversation + counter-offer review",IF(H52="Medium","Check-in + career development discussion","Continue monitoring"))</f>
        <v/>
      </c>
    </row>
    <row r="53">
      <c r="A53" s="66">
        <f>'Employee Data'!A54</f>
        <v/>
      </c>
      <c r="B53" s="66">
        <f>'Employee Data'!G54</f>
        <v/>
      </c>
      <c r="C53" s="66">
        <f>'Employee Data'!F54</f>
        <v/>
      </c>
      <c r="D53" s="68">
        <f>'Employee Data'!B54</f>
        <v/>
      </c>
      <c r="E53" s="68">
        <f>'Employee Data'!H54</f>
        <v/>
      </c>
      <c r="F53" s="78">
        <f>IFERROR('Employee Data'!D54/IF('Employee Data'!L54&gt;0,'Employee Data'!L54,'Employee Data'!D54*1.05),1)</f>
        <v/>
      </c>
      <c r="G53" s="68">
        <f>IF(A53="","",IF(D53&lt;=2,3,IF(D53=3,1,0))+IF(E53&lt;2,2,IF(E53&lt;4,1,0))+IF(F53&lt;0.9,2,IF(F53&lt;0.95,1,0)))</f>
        <v/>
      </c>
      <c r="H53" s="68">
        <f>IF(G53="","",IF(G53&gt;=5,"High",IF(G53&gt;=3,"Medium","Low")))</f>
        <v/>
      </c>
      <c r="I53" s="68">
        <f>IF(H53="High","Retention conversation + counter-offer review",IF(H53="Medium","Check-in + career development discussion","Continue monitoring"))</f>
        <v/>
      </c>
    </row>
    <row r="54">
      <c r="A54" s="61">
        <f>'Employee Data'!A55</f>
        <v/>
      </c>
      <c r="B54" s="61">
        <f>'Employee Data'!G55</f>
        <v/>
      </c>
      <c r="C54" s="61">
        <f>'Employee Data'!F55</f>
        <v/>
      </c>
      <c r="D54" s="63">
        <f>'Employee Data'!B55</f>
        <v/>
      </c>
      <c r="E54" s="63">
        <f>'Employee Data'!H55</f>
        <v/>
      </c>
      <c r="F54" s="77">
        <f>IFERROR('Employee Data'!D55/IF('Employee Data'!L55&gt;0,'Employee Data'!L55,'Employee Data'!D55*1.05),1)</f>
        <v/>
      </c>
      <c r="G54" s="63">
        <f>IF(A54="","",IF(D54&lt;=2,3,IF(D54=3,1,0))+IF(E54&lt;2,2,IF(E54&lt;4,1,0))+IF(F54&lt;0.9,2,IF(F54&lt;0.95,1,0)))</f>
        <v/>
      </c>
      <c r="H54" s="63">
        <f>IF(G54="","",IF(G54&gt;=5,"High",IF(G54&gt;=3,"Medium","Low")))</f>
        <v/>
      </c>
      <c r="I54" s="63">
        <f>IF(H54="High","Retention conversation + counter-offer review",IF(H54="Medium","Check-in + career development discussion","Continue monitoring"))</f>
        <v/>
      </c>
    </row>
    <row r="55">
      <c r="A55" s="66">
        <f>'Employee Data'!A56</f>
        <v/>
      </c>
      <c r="B55" s="66">
        <f>'Employee Data'!G56</f>
        <v/>
      </c>
      <c r="C55" s="66">
        <f>'Employee Data'!F56</f>
        <v/>
      </c>
      <c r="D55" s="68">
        <f>'Employee Data'!B56</f>
        <v/>
      </c>
      <c r="E55" s="68">
        <f>'Employee Data'!H56</f>
        <v/>
      </c>
      <c r="F55" s="78">
        <f>IFERROR('Employee Data'!D56/IF('Employee Data'!L56&gt;0,'Employee Data'!L56,'Employee Data'!D56*1.05),1)</f>
        <v/>
      </c>
      <c r="G55" s="68">
        <f>IF(A55="","",IF(D55&lt;=2,3,IF(D55=3,1,0))+IF(E55&lt;2,2,IF(E55&lt;4,1,0))+IF(F55&lt;0.9,2,IF(F55&lt;0.95,1,0)))</f>
        <v/>
      </c>
      <c r="H55" s="68">
        <f>IF(G55="","",IF(G55&gt;=5,"High",IF(G55&gt;=3,"Medium","Low")))</f>
        <v/>
      </c>
      <c r="I55" s="68">
        <f>IF(H55="High","Retention conversation + counter-offer review",IF(H55="Medium","Check-in + career development discussion","Continue monitoring"))</f>
        <v/>
      </c>
    </row>
    <row r="56">
      <c r="A56" s="61">
        <f>'Employee Data'!A57</f>
        <v/>
      </c>
      <c r="B56" s="61">
        <f>'Employee Data'!G57</f>
        <v/>
      </c>
      <c r="C56" s="61">
        <f>'Employee Data'!F57</f>
        <v/>
      </c>
      <c r="D56" s="63">
        <f>'Employee Data'!B57</f>
        <v/>
      </c>
      <c r="E56" s="63">
        <f>'Employee Data'!H57</f>
        <v/>
      </c>
      <c r="F56" s="77">
        <f>IFERROR('Employee Data'!D57/IF('Employee Data'!L57&gt;0,'Employee Data'!L57,'Employee Data'!D57*1.05),1)</f>
        <v/>
      </c>
      <c r="G56" s="63">
        <f>IF(A56="","",IF(D56&lt;=2,3,IF(D56=3,1,0))+IF(E56&lt;2,2,IF(E56&lt;4,1,0))+IF(F56&lt;0.9,2,IF(F56&lt;0.95,1,0)))</f>
        <v/>
      </c>
      <c r="H56" s="63">
        <f>IF(G56="","",IF(G56&gt;=5,"High",IF(G56&gt;=3,"Medium","Low")))</f>
        <v/>
      </c>
      <c r="I56" s="63">
        <f>IF(H56="High","Retention conversation + counter-offer review",IF(H56="Medium","Check-in + career development discussion","Continue monitoring"))</f>
        <v/>
      </c>
    </row>
    <row r="57">
      <c r="A57" s="66">
        <f>'Employee Data'!A58</f>
        <v/>
      </c>
      <c r="B57" s="66">
        <f>'Employee Data'!G58</f>
        <v/>
      </c>
      <c r="C57" s="66">
        <f>'Employee Data'!F58</f>
        <v/>
      </c>
      <c r="D57" s="68">
        <f>'Employee Data'!B58</f>
        <v/>
      </c>
      <c r="E57" s="68">
        <f>'Employee Data'!H58</f>
        <v/>
      </c>
      <c r="F57" s="78">
        <f>IFERROR('Employee Data'!D58/IF('Employee Data'!L58&gt;0,'Employee Data'!L58,'Employee Data'!D58*1.05),1)</f>
        <v/>
      </c>
      <c r="G57" s="68">
        <f>IF(A57="","",IF(D57&lt;=2,3,IF(D57=3,1,0))+IF(E57&lt;2,2,IF(E57&lt;4,1,0))+IF(F57&lt;0.9,2,IF(F57&lt;0.95,1,0)))</f>
        <v/>
      </c>
      <c r="H57" s="68">
        <f>IF(G57="","",IF(G57&gt;=5,"High",IF(G57&gt;=3,"Medium","Low")))</f>
        <v/>
      </c>
      <c r="I57" s="68">
        <f>IF(H57="High","Retention conversation + counter-offer review",IF(H57="Medium","Check-in + career development discussion","Continue monitoring"))</f>
        <v/>
      </c>
    </row>
    <row r="58">
      <c r="A58" s="61">
        <f>'Employee Data'!A59</f>
        <v/>
      </c>
      <c r="B58" s="61">
        <f>'Employee Data'!G59</f>
        <v/>
      </c>
      <c r="C58" s="61">
        <f>'Employee Data'!F59</f>
        <v/>
      </c>
      <c r="D58" s="63">
        <f>'Employee Data'!B59</f>
        <v/>
      </c>
      <c r="E58" s="63">
        <f>'Employee Data'!H59</f>
        <v/>
      </c>
      <c r="F58" s="77">
        <f>IFERROR('Employee Data'!D59/IF('Employee Data'!L59&gt;0,'Employee Data'!L59,'Employee Data'!D59*1.05),1)</f>
        <v/>
      </c>
      <c r="G58" s="63">
        <f>IF(A58="","",IF(D58&lt;=2,3,IF(D58=3,1,0))+IF(E58&lt;2,2,IF(E58&lt;4,1,0))+IF(F58&lt;0.9,2,IF(F58&lt;0.95,1,0)))</f>
        <v/>
      </c>
      <c r="H58" s="63">
        <f>IF(G58="","",IF(G58&gt;=5,"High",IF(G58&gt;=3,"Medium","Low")))</f>
        <v/>
      </c>
      <c r="I58" s="63">
        <f>IF(H58="High","Retention conversation + counter-offer review",IF(H58="Medium","Check-in + career development discussion","Continue monitoring"))</f>
        <v/>
      </c>
    </row>
    <row r="59">
      <c r="A59" s="66">
        <f>'Employee Data'!A60</f>
        <v/>
      </c>
      <c r="B59" s="66">
        <f>'Employee Data'!G60</f>
        <v/>
      </c>
      <c r="C59" s="66">
        <f>'Employee Data'!F60</f>
        <v/>
      </c>
      <c r="D59" s="68">
        <f>'Employee Data'!B60</f>
        <v/>
      </c>
      <c r="E59" s="68">
        <f>'Employee Data'!H60</f>
        <v/>
      </c>
      <c r="F59" s="78">
        <f>IFERROR('Employee Data'!D60/IF('Employee Data'!L60&gt;0,'Employee Data'!L60,'Employee Data'!D60*1.05),1)</f>
        <v/>
      </c>
      <c r="G59" s="68">
        <f>IF(A59="","",IF(D59&lt;=2,3,IF(D59=3,1,0))+IF(E59&lt;2,2,IF(E59&lt;4,1,0))+IF(F59&lt;0.9,2,IF(F59&lt;0.95,1,0)))</f>
        <v/>
      </c>
      <c r="H59" s="68">
        <f>IF(G59="","",IF(G59&gt;=5,"High",IF(G59&gt;=3,"Medium","Low")))</f>
        <v/>
      </c>
      <c r="I59" s="68">
        <f>IF(H59="High","Retention conversation + counter-offer review",IF(H59="Medium","Check-in + career development discussion","Continue monitoring"))</f>
        <v/>
      </c>
    </row>
    <row r="60">
      <c r="A60" s="61">
        <f>'Employee Data'!A61</f>
        <v/>
      </c>
      <c r="B60" s="61">
        <f>'Employee Data'!G61</f>
        <v/>
      </c>
      <c r="C60" s="61">
        <f>'Employee Data'!F61</f>
        <v/>
      </c>
      <c r="D60" s="63">
        <f>'Employee Data'!B61</f>
        <v/>
      </c>
      <c r="E60" s="63">
        <f>'Employee Data'!H61</f>
        <v/>
      </c>
      <c r="F60" s="77">
        <f>IFERROR('Employee Data'!D61/IF('Employee Data'!L61&gt;0,'Employee Data'!L61,'Employee Data'!D61*1.05),1)</f>
        <v/>
      </c>
      <c r="G60" s="63">
        <f>IF(A60="","",IF(D60&lt;=2,3,IF(D60=3,1,0))+IF(E60&lt;2,2,IF(E60&lt;4,1,0))+IF(F60&lt;0.9,2,IF(F60&lt;0.95,1,0)))</f>
        <v/>
      </c>
      <c r="H60" s="63">
        <f>IF(G60="","",IF(G60&gt;=5,"High",IF(G60&gt;=3,"Medium","Low")))</f>
        <v/>
      </c>
      <c r="I60" s="63">
        <f>IF(H60="High","Retention conversation + counter-offer review",IF(H60="Medium","Check-in + career development discussion","Continue monitoring"))</f>
        <v/>
      </c>
    </row>
    <row r="61">
      <c r="A61" s="66">
        <f>'Employee Data'!A62</f>
        <v/>
      </c>
      <c r="B61" s="66">
        <f>'Employee Data'!G62</f>
        <v/>
      </c>
      <c r="C61" s="66">
        <f>'Employee Data'!F62</f>
        <v/>
      </c>
      <c r="D61" s="68">
        <f>'Employee Data'!B62</f>
        <v/>
      </c>
      <c r="E61" s="68">
        <f>'Employee Data'!H62</f>
        <v/>
      </c>
      <c r="F61" s="78">
        <f>IFERROR('Employee Data'!D62/IF('Employee Data'!L62&gt;0,'Employee Data'!L62,'Employee Data'!D62*1.05),1)</f>
        <v/>
      </c>
      <c r="G61" s="68">
        <f>IF(A61="","",IF(D61&lt;=2,3,IF(D61=3,1,0))+IF(E61&lt;2,2,IF(E61&lt;4,1,0))+IF(F61&lt;0.9,2,IF(F61&lt;0.95,1,0)))</f>
        <v/>
      </c>
      <c r="H61" s="68">
        <f>IF(G61="","",IF(G61&gt;=5,"High",IF(G61&gt;=3,"Medium","Low")))</f>
        <v/>
      </c>
      <c r="I61" s="68">
        <f>IF(H61="High","Retention conversation + counter-offer review",IF(H61="Medium","Check-in + career development discussion","Continue monitoring"))</f>
        <v/>
      </c>
    </row>
    <row r="62">
      <c r="A62" s="61">
        <f>'Employee Data'!A63</f>
        <v/>
      </c>
      <c r="B62" s="61">
        <f>'Employee Data'!G63</f>
        <v/>
      </c>
      <c r="C62" s="61">
        <f>'Employee Data'!F63</f>
        <v/>
      </c>
      <c r="D62" s="63">
        <f>'Employee Data'!B63</f>
        <v/>
      </c>
      <c r="E62" s="63">
        <f>'Employee Data'!H63</f>
        <v/>
      </c>
      <c r="F62" s="77">
        <f>IFERROR('Employee Data'!D63/IF('Employee Data'!L63&gt;0,'Employee Data'!L63,'Employee Data'!D63*1.05),1)</f>
        <v/>
      </c>
      <c r="G62" s="63">
        <f>IF(A62="","",IF(D62&lt;=2,3,IF(D62=3,1,0))+IF(E62&lt;2,2,IF(E62&lt;4,1,0))+IF(F62&lt;0.9,2,IF(F62&lt;0.95,1,0)))</f>
        <v/>
      </c>
      <c r="H62" s="63">
        <f>IF(G62="","",IF(G62&gt;=5,"High",IF(G62&gt;=3,"Medium","Low")))</f>
        <v/>
      </c>
      <c r="I62" s="63">
        <f>IF(H62="High","Retention conversation + counter-offer review",IF(H62="Medium","Check-in + career development discussion","Continue monitoring"))</f>
        <v/>
      </c>
    </row>
    <row r="63">
      <c r="A63" s="66">
        <f>'Employee Data'!A64</f>
        <v/>
      </c>
      <c r="B63" s="66">
        <f>'Employee Data'!G64</f>
        <v/>
      </c>
      <c r="C63" s="66">
        <f>'Employee Data'!F64</f>
        <v/>
      </c>
      <c r="D63" s="68">
        <f>'Employee Data'!B64</f>
        <v/>
      </c>
      <c r="E63" s="68">
        <f>'Employee Data'!H64</f>
        <v/>
      </c>
      <c r="F63" s="78">
        <f>IFERROR('Employee Data'!D64/IF('Employee Data'!L64&gt;0,'Employee Data'!L64,'Employee Data'!D64*1.05),1)</f>
        <v/>
      </c>
      <c r="G63" s="68">
        <f>IF(A63="","",IF(D63&lt;=2,3,IF(D63=3,1,0))+IF(E63&lt;2,2,IF(E63&lt;4,1,0))+IF(F63&lt;0.9,2,IF(F63&lt;0.95,1,0)))</f>
        <v/>
      </c>
      <c r="H63" s="68">
        <f>IF(G63="","",IF(G63&gt;=5,"High",IF(G63&gt;=3,"Medium","Low")))</f>
        <v/>
      </c>
      <c r="I63" s="68">
        <f>IF(H63="High","Retention conversation + counter-offer review",IF(H63="Medium","Check-in + career development discussion","Continue monitoring"))</f>
        <v/>
      </c>
    </row>
    <row r="64">
      <c r="A64" s="61">
        <f>'Employee Data'!A65</f>
        <v/>
      </c>
      <c r="B64" s="61">
        <f>'Employee Data'!G65</f>
        <v/>
      </c>
      <c r="C64" s="61">
        <f>'Employee Data'!F65</f>
        <v/>
      </c>
      <c r="D64" s="63">
        <f>'Employee Data'!B65</f>
        <v/>
      </c>
      <c r="E64" s="63">
        <f>'Employee Data'!H65</f>
        <v/>
      </c>
      <c r="F64" s="77">
        <f>IFERROR('Employee Data'!D65/IF('Employee Data'!L65&gt;0,'Employee Data'!L65,'Employee Data'!D65*1.05),1)</f>
        <v/>
      </c>
      <c r="G64" s="63">
        <f>IF(A64="","",IF(D64&lt;=2,3,IF(D64=3,1,0))+IF(E64&lt;2,2,IF(E64&lt;4,1,0))+IF(F64&lt;0.9,2,IF(F64&lt;0.95,1,0)))</f>
        <v/>
      </c>
      <c r="H64" s="63">
        <f>IF(G64="","",IF(G64&gt;=5,"High",IF(G64&gt;=3,"Medium","Low")))</f>
        <v/>
      </c>
      <c r="I64" s="63">
        <f>IF(H64="High","Retention conversation + counter-offer review",IF(H64="Medium","Check-in + career development discussion","Continue monitoring"))</f>
        <v/>
      </c>
    </row>
    <row r="65">
      <c r="A65" s="66">
        <f>'Employee Data'!A66</f>
        <v/>
      </c>
      <c r="B65" s="66">
        <f>'Employee Data'!G66</f>
        <v/>
      </c>
      <c r="C65" s="66">
        <f>'Employee Data'!F66</f>
        <v/>
      </c>
      <c r="D65" s="68">
        <f>'Employee Data'!B66</f>
        <v/>
      </c>
      <c r="E65" s="68">
        <f>'Employee Data'!H66</f>
        <v/>
      </c>
      <c r="F65" s="78">
        <f>IFERROR('Employee Data'!D66/IF('Employee Data'!L66&gt;0,'Employee Data'!L66,'Employee Data'!D66*1.05),1)</f>
        <v/>
      </c>
      <c r="G65" s="68">
        <f>IF(A65="","",IF(D65&lt;=2,3,IF(D65=3,1,0))+IF(E65&lt;2,2,IF(E65&lt;4,1,0))+IF(F65&lt;0.9,2,IF(F65&lt;0.95,1,0)))</f>
        <v/>
      </c>
      <c r="H65" s="68">
        <f>IF(G65="","",IF(G65&gt;=5,"High",IF(G65&gt;=3,"Medium","Low")))</f>
        <v/>
      </c>
      <c r="I65" s="68">
        <f>IF(H65="High","Retention conversation + counter-offer review",IF(H65="Medium","Check-in + career development discussion","Continue monitoring"))</f>
        <v/>
      </c>
    </row>
    <row r="66">
      <c r="A66" s="61">
        <f>'Employee Data'!A67</f>
        <v/>
      </c>
      <c r="B66" s="61">
        <f>'Employee Data'!G67</f>
        <v/>
      </c>
      <c r="C66" s="61">
        <f>'Employee Data'!F67</f>
        <v/>
      </c>
      <c r="D66" s="63">
        <f>'Employee Data'!B67</f>
        <v/>
      </c>
      <c r="E66" s="63">
        <f>'Employee Data'!H67</f>
        <v/>
      </c>
      <c r="F66" s="77">
        <f>IFERROR('Employee Data'!D67/IF('Employee Data'!L67&gt;0,'Employee Data'!L67,'Employee Data'!D67*1.05),1)</f>
        <v/>
      </c>
      <c r="G66" s="63">
        <f>IF(A66="","",IF(D66&lt;=2,3,IF(D66=3,1,0))+IF(E66&lt;2,2,IF(E66&lt;4,1,0))+IF(F66&lt;0.9,2,IF(F66&lt;0.95,1,0)))</f>
        <v/>
      </c>
      <c r="H66" s="63">
        <f>IF(G66="","",IF(G66&gt;=5,"High",IF(G66&gt;=3,"Medium","Low")))</f>
        <v/>
      </c>
      <c r="I66" s="63">
        <f>IF(H66="High","Retention conversation + counter-offer review",IF(H66="Medium","Check-in + career development discussion","Continue monitoring"))</f>
        <v/>
      </c>
    </row>
    <row r="67">
      <c r="A67" s="66">
        <f>'Employee Data'!A68</f>
        <v/>
      </c>
      <c r="B67" s="66">
        <f>'Employee Data'!G68</f>
        <v/>
      </c>
      <c r="C67" s="66">
        <f>'Employee Data'!F68</f>
        <v/>
      </c>
      <c r="D67" s="68">
        <f>'Employee Data'!B68</f>
        <v/>
      </c>
      <c r="E67" s="68">
        <f>'Employee Data'!H68</f>
        <v/>
      </c>
      <c r="F67" s="78">
        <f>IFERROR('Employee Data'!D68/IF('Employee Data'!L68&gt;0,'Employee Data'!L68,'Employee Data'!D68*1.05),1)</f>
        <v/>
      </c>
      <c r="G67" s="68">
        <f>IF(A67="","",IF(D67&lt;=2,3,IF(D67=3,1,0))+IF(E67&lt;2,2,IF(E67&lt;4,1,0))+IF(F67&lt;0.9,2,IF(F67&lt;0.95,1,0)))</f>
        <v/>
      </c>
      <c r="H67" s="68">
        <f>IF(G67="","",IF(G67&gt;=5,"High",IF(G67&gt;=3,"Medium","Low")))</f>
        <v/>
      </c>
      <c r="I67" s="68">
        <f>IF(H67="High","Retention conversation + counter-offer review",IF(H67="Medium","Check-in + career development discussion","Continue monitoring"))</f>
        <v/>
      </c>
    </row>
    <row r="68">
      <c r="A68" s="61">
        <f>'Employee Data'!A69</f>
        <v/>
      </c>
      <c r="B68" s="61">
        <f>'Employee Data'!G69</f>
        <v/>
      </c>
      <c r="C68" s="61">
        <f>'Employee Data'!F69</f>
        <v/>
      </c>
      <c r="D68" s="63">
        <f>'Employee Data'!B69</f>
        <v/>
      </c>
      <c r="E68" s="63">
        <f>'Employee Data'!H69</f>
        <v/>
      </c>
      <c r="F68" s="77">
        <f>IFERROR('Employee Data'!D69/IF('Employee Data'!L69&gt;0,'Employee Data'!L69,'Employee Data'!D69*1.05),1)</f>
        <v/>
      </c>
      <c r="G68" s="63">
        <f>IF(A68="","",IF(D68&lt;=2,3,IF(D68=3,1,0))+IF(E68&lt;2,2,IF(E68&lt;4,1,0))+IF(F68&lt;0.9,2,IF(F68&lt;0.95,1,0)))</f>
        <v/>
      </c>
      <c r="H68" s="63">
        <f>IF(G68="","",IF(G68&gt;=5,"High",IF(G68&gt;=3,"Medium","Low")))</f>
        <v/>
      </c>
      <c r="I68" s="63">
        <f>IF(H68="High","Retention conversation + counter-offer review",IF(H68="Medium","Check-in + career development discussion","Continue monitoring"))</f>
        <v/>
      </c>
    </row>
    <row r="69">
      <c r="A69" s="66">
        <f>'Employee Data'!A70</f>
        <v/>
      </c>
      <c r="B69" s="66">
        <f>'Employee Data'!G70</f>
        <v/>
      </c>
      <c r="C69" s="66">
        <f>'Employee Data'!F70</f>
        <v/>
      </c>
      <c r="D69" s="68">
        <f>'Employee Data'!B70</f>
        <v/>
      </c>
      <c r="E69" s="68">
        <f>'Employee Data'!H70</f>
        <v/>
      </c>
      <c r="F69" s="78">
        <f>IFERROR('Employee Data'!D70/IF('Employee Data'!L70&gt;0,'Employee Data'!L70,'Employee Data'!D70*1.05),1)</f>
        <v/>
      </c>
      <c r="G69" s="68">
        <f>IF(A69="","",IF(D69&lt;=2,3,IF(D69=3,1,0))+IF(E69&lt;2,2,IF(E69&lt;4,1,0))+IF(F69&lt;0.9,2,IF(F69&lt;0.95,1,0)))</f>
        <v/>
      </c>
      <c r="H69" s="68">
        <f>IF(G69="","",IF(G69&gt;=5,"High",IF(G69&gt;=3,"Medium","Low")))</f>
        <v/>
      </c>
      <c r="I69" s="68">
        <f>IF(H69="High","Retention conversation + counter-offer review",IF(H69="Medium","Check-in + career development discussion","Continue monitoring"))</f>
        <v/>
      </c>
    </row>
    <row r="70">
      <c r="A70" s="61">
        <f>'Employee Data'!A71</f>
        <v/>
      </c>
      <c r="B70" s="61">
        <f>'Employee Data'!G71</f>
        <v/>
      </c>
      <c r="C70" s="61">
        <f>'Employee Data'!F71</f>
        <v/>
      </c>
      <c r="D70" s="63">
        <f>'Employee Data'!B71</f>
        <v/>
      </c>
      <c r="E70" s="63">
        <f>'Employee Data'!H71</f>
        <v/>
      </c>
      <c r="F70" s="77">
        <f>IFERROR('Employee Data'!D71/IF('Employee Data'!L71&gt;0,'Employee Data'!L71,'Employee Data'!D71*1.05),1)</f>
        <v/>
      </c>
      <c r="G70" s="63">
        <f>IF(A70="","",IF(D70&lt;=2,3,IF(D70=3,1,0))+IF(E70&lt;2,2,IF(E70&lt;4,1,0))+IF(F70&lt;0.9,2,IF(F70&lt;0.95,1,0)))</f>
        <v/>
      </c>
      <c r="H70" s="63">
        <f>IF(G70="","",IF(G70&gt;=5,"High",IF(G70&gt;=3,"Medium","Low")))</f>
        <v/>
      </c>
      <c r="I70" s="63">
        <f>IF(H70="High","Retention conversation + counter-offer review",IF(H70="Medium","Check-in + career development discussion","Continue monitoring"))</f>
        <v/>
      </c>
    </row>
    <row r="71">
      <c r="A71" s="66">
        <f>'Employee Data'!A72</f>
        <v/>
      </c>
      <c r="B71" s="66">
        <f>'Employee Data'!G72</f>
        <v/>
      </c>
      <c r="C71" s="66">
        <f>'Employee Data'!F72</f>
        <v/>
      </c>
      <c r="D71" s="68">
        <f>'Employee Data'!B72</f>
        <v/>
      </c>
      <c r="E71" s="68">
        <f>'Employee Data'!H72</f>
        <v/>
      </c>
      <c r="F71" s="78">
        <f>IFERROR('Employee Data'!D72/IF('Employee Data'!L72&gt;0,'Employee Data'!L72,'Employee Data'!D72*1.05),1)</f>
        <v/>
      </c>
      <c r="G71" s="68">
        <f>IF(A71="","",IF(D71&lt;=2,3,IF(D71=3,1,0))+IF(E71&lt;2,2,IF(E71&lt;4,1,0))+IF(F71&lt;0.9,2,IF(F71&lt;0.95,1,0)))</f>
        <v/>
      </c>
      <c r="H71" s="68">
        <f>IF(G71="","",IF(G71&gt;=5,"High",IF(G71&gt;=3,"Medium","Low")))</f>
        <v/>
      </c>
      <c r="I71" s="68">
        <f>IF(H71="High","Retention conversation + counter-offer review",IF(H71="Medium","Check-in + career development discussion","Continue monitoring"))</f>
        <v/>
      </c>
    </row>
    <row r="72">
      <c r="A72" s="61">
        <f>'Employee Data'!A73</f>
        <v/>
      </c>
      <c r="B72" s="61">
        <f>'Employee Data'!G73</f>
        <v/>
      </c>
      <c r="C72" s="61">
        <f>'Employee Data'!F73</f>
        <v/>
      </c>
      <c r="D72" s="63">
        <f>'Employee Data'!B73</f>
        <v/>
      </c>
      <c r="E72" s="63">
        <f>'Employee Data'!H73</f>
        <v/>
      </c>
      <c r="F72" s="77">
        <f>IFERROR('Employee Data'!D73/IF('Employee Data'!L73&gt;0,'Employee Data'!L73,'Employee Data'!D73*1.05),1)</f>
        <v/>
      </c>
      <c r="G72" s="63">
        <f>IF(A72="","",IF(D72&lt;=2,3,IF(D72=3,1,0))+IF(E72&lt;2,2,IF(E72&lt;4,1,0))+IF(F72&lt;0.9,2,IF(F72&lt;0.95,1,0)))</f>
        <v/>
      </c>
      <c r="H72" s="63">
        <f>IF(G72="","",IF(G72&gt;=5,"High",IF(G72&gt;=3,"Medium","Low")))</f>
        <v/>
      </c>
      <c r="I72" s="63">
        <f>IF(H72="High","Retention conversation + counter-offer review",IF(H72="Medium","Check-in + career development discussion","Continue monitoring"))</f>
        <v/>
      </c>
    </row>
    <row r="73">
      <c r="A73" s="66">
        <f>'Employee Data'!A74</f>
        <v/>
      </c>
      <c r="B73" s="66">
        <f>'Employee Data'!G74</f>
        <v/>
      </c>
      <c r="C73" s="66">
        <f>'Employee Data'!F74</f>
        <v/>
      </c>
      <c r="D73" s="68">
        <f>'Employee Data'!B74</f>
        <v/>
      </c>
      <c r="E73" s="68">
        <f>'Employee Data'!H74</f>
        <v/>
      </c>
      <c r="F73" s="78">
        <f>IFERROR('Employee Data'!D74/IF('Employee Data'!L74&gt;0,'Employee Data'!L74,'Employee Data'!D74*1.05),1)</f>
        <v/>
      </c>
      <c r="G73" s="68">
        <f>IF(A73="","",IF(D73&lt;=2,3,IF(D73=3,1,0))+IF(E73&lt;2,2,IF(E73&lt;4,1,0))+IF(F73&lt;0.9,2,IF(F73&lt;0.95,1,0)))</f>
        <v/>
      </c>
      <c r="H73" s="68">
        <f>IF(G73="","",IF(G73&gt;=5,"High",IF(G73&gt;=3,"Medium","Low")))</f>
        <v/>
      </c>
      <c r="I73" s="68">
        <f>IF(H73="High","Retention conversation + counter-offer review",IF(H73="Medium","Check-in + career development discussion","Continue monitoring"))</f>
        <v/>
      </c>
    </row>
    <row r="74">
      <c r="A74" s="61">
        <f>'Employee Data'!A75</f>
        <v/>
      </c>
      <c r="B74" s="61">
        <f>'Employee Data'!G75</f>
        <v/>
      </c>
      <c r="C74" s="61">
        <f>'Employee Data'!F75</f>
        <v/>
      </c>
      <c r="D74" s="63">
        <f>'Employee Data'!B75</f>
        <v/>
      </c>
      <c r="E74" s="63">
        <f>'Employee Data'!H75</f>
        <v/>
      </c>
      <c r="F74" s="77">
        <f>IFERROR('Employee Data'!D75/IF('Employee Data'!L75&gt;0,'Employee Data'!L75,'Employee Data'!D75*1.05),1)</f>
        <v/>
      </c>
      <c r="G74" s="63">
        <f>IF(A74="","",IF(D74&lt;=2,3,IF(D74=3,1,0))+IF(E74&lt;2,2,IF(E74&lt;4,1,0))+IF(F74&lt;0.9,2,IF(F74&lt;0.95,1,0)))</f>
        <v/>
      </c>
      <c r="H74" s="63">
        <f>IF(G74="","",IF(G74&gt;=5,"High",IF(G74&gt;=3,"Medium","Low")))</f>
        <v/>
      </c>
      <c r="I74" s="63">
        <f>IF(H74="High","Retention conversation + counter-offer review",IF(H74="Medium","Check-in + career development discussion","Continue monitoring"))</f>
        <v/>
      </c>
    </row>
    <row r="75">
      <c r="A75" s="66">
        <f>'Employee Data'!A76</f>
        <v/>
      </c>
      <c r="B75" s="66">
        <f>'Employee Data'!G76</f>
        <v/>
      </c>
      <c r="C75" s="66">
        <f>'Employee Data'!F76</f>
        <v/>
      </c>
      <c r="D75" s="68">
        <f>'Employee Data'!B76</f>
        <v/>
      </c>
      <c r="E75" s="68">
        <f>'Employee Data'!H76</f>
        <v/>
      </c>
      <c r="F75" s="78">
        <f>IFERROR('Employee Data'!D76/IF('Employee Data'!L76&gt;0,'Employee Data'!L76,'Employee Data'!D76*1.05),1)</f>
        <v/>
      </c>
      <c r="G75" s="68">
        <f>IF(A75="","",IF(D75&lt;=2,3,IF(D75=3,1,0))+IF(E75&lt;2,2,IF(E75&lt;4,1,0))+IF(F75&lt;0.9,2,IF(F75&lt;0.95,1,0)))</f>
        <v/>
      </c>
      <c r="H75" s="68">
        <f>IF(G75="","",IF(G75&gt;=5,"High",IF(G75&gt;=3,"Medium","Low")))</f>
        <v/>
      </c>
      <c r="I75" s="68">
        <f>IF(H75="High","Retention conversation + counter-offer review",IF(H75="Medium","Check-in + career development discussion","Continue monitoring"))</f>
        <v/>
      </c>
    </row>
    <row r="76">
      <c r="A76" s="61">
        <f>'Employee Data'!A77</f>
        <v/>
      </c>
      <c r="B76" s="61">
        <f>'Employee Data'!G77</f>
        <v/>
      </c>
      <c r="C76" s="61">
        <f>'Employee Data'!F77</f>
        <v/>
      </c>
      <c r="D76" s="63">
        <f>'Employee Data'!B77</f>
        <v/>
      </c>
      <c r="E76" s="63">
        <f>'Employee Data'!H77</f>
        <v/>
      </c>
      <c r="F76" s="77">
        <f>IFERROR('Employee Data'!D77/IF('Employee Data'!L77&gt;0,'Employee Data'!L77,'Employee Data'!D77*1.05),1)</f>
        <v/>
      </c>
      <c r="G76" s="63">
        <f>IF(A76="","",IF(D76&lt;=2,3,IF(D76=3,1,0))+IF(E76&lt;2,2,IF(E76&lt;4,1,0))+IF(F76&lt;0.9,2,IF(F76&lt;0.95,1,0)))</f>
        <v/>
      </c>
      <c r="H76" s="63">
        <f>IF(G76="","",IF(G76&gt;=5,"High",IF(G76&gt;=3,"Medium","Low")))</f>
        <v/>
      </c>
      <c r="I76" s="63">
        <f>IF(H76="High","Retention conversation + counter-offer review",IF(H76="Medium","Check-in + career development discussion","Continue monitoring"))</f>
        <v/>
      </c>
    </row>
    <row r="77">
      <c r="A77" s="66">
        <f>'Employee Data'!A78</f>
        <v/>
      </c>
      <c r="B77" s="66">
        <f>'Employee Data'!G78</f>
        <v/>
      </c>
      <c r="C77" s="66">
        <f>'Employee Data'!F78</f>
        <v/>
      </c>
      <c r="D77" s="68">
        <f>'Employee Data'!B78</f>
        <v/>
      </c>
      <c r="E77" s="68">
        <f>'Employee Data'!H78</f>
        <v/>
      </c>
      <c r="F77" s="78">
        <f>IFERROR('Employee Data'!D78/IF('Employee Data'!L78&gt;0,'Employee Data'!L78,'Employee Data'!D78*1.05),1)</f>
        <v/>
      </c>
      <c r="G77" s="68">
        <f>IF(A77="","",IF(D77&lt;=2,3,IF(D77=3,1,0))+IF(E77&lt;2,2,IF(E77&lt;4,1,0))+IF(F77&lt;0.9,2,IF(F77&lt;0.95,1,0)))</f>
        <v/>
      </c>
      <c r="H77" s="68">
        <f>IF(G77="","",IF(G77&gt;=5,"High",IF(G77&gt;=3,"Medium","Low")))</f>
        <v/>
      </c>
      <c r="I77" s="68">
        <f>IF(H77="High","Retention conversation + counter-offer review",IF(H77="Medium","Check-in + career development discussion","Continue monitoring"))</f>
        <v/>
      </c>
    </row>
    <row r="78">
      <c r="A78" s="61">
        <f>'Employee Data'!A79</f>
        <v/>
      </c>
      <c r="B78" s="61">
        <f>'Employee Data'!G79</f>
        <v/>
      </c>
      <c r="C78" s="61">
        <f>'Employee Data'!F79</f>
        <v/>
      </c>
      <c r="D78" s="63">
        <f>'Employee Data'!B79</f>
        <v/>
      </c>
      <c r="E78" s="63">
        <f>'Employee Data'!H79</f>
        <v/>
      </c>
      <c r="F78" s="77">
        <f>IFERROR('Employee Data'!D79/IF('Employee Data'!L79&gt;0,'Employee Data'!L79,'Employee Data'!D79*1.05),1)</f>
        <v/>
      </c>
      <c r="G78" s="63">
        <f>IF(A78="","",IF(D78&lt;=2,3,IF(D78=3,1,0))+IF(E78&lt;2,2,IF(E78&lt;4,1,0))+IF(F78&lt;0.9,2,IF(F78&lt;0.95,1,0)))</f>
        <v/>
      </c>
      <c r="H78" s="63">
        <f>IF(G78="","",IF(G78&gt;=5,"High",IF(G78&gt;=3,"Medium","Low")))</f>
        <v/>
      </c>
      <c r="I78" s="63">
        <f>IF(H78="High","Retention conversation + counter-offer review",IF(H78="Medium","Check-in + career development discussion","Continue monitoring"))</f>
        <v/>
      </c>
    </row>
    <row r="79">
      <c r="A79" s="66">
        <f>'Employee Data'!A80</f>
        <v/>
      </c>
      <c r="B79" s="66">
        <f>'Employee Data'!G80</f>
        <v/>
      </c>
      <c r="C79" s="66">
        <f>'Employee Data'!F80</f>
        <v/>
      </c>
      <c r="D79" s="68">
        <f>'Employee Data'!B80</f>
        <v/>
      </c>
      <c r="E79" s="68">
        <f>'Employee Data'!H80</f>
        <v/>
      </c>
      <c r="F79" s="78">
        <f>IFERROR('Employee Data'!D80/IF('Employee Data'!L80&gt;0,'Employee Data'!L80,'Employee Data'!D80*1.05),1)</f>
        <v/>
      </c>
      <c r="G79" s="68">
        <f>IF(A79="","",IF(D79&lt;=2,3,IF(D79=3,1,0))+IF(E79&lt;2,2,IF(E79&lt;4,1,0))+IF(F79&lt;0.9,2,IF(F79&lt;0.95,1,0)))</f>
        <v/>
      </c>
      <c r="H79" s="68">
        <f>IF(G79="","",IF(G79&gt;=5,"High",IF(G79&gt;=3,"Medium","Low")))</f>
        <v/>
      </c>
      <c r="I79" s="68">
        <f>IF(H79="High","Retention conversation + counter-offer review",IF(H79="Medium","Check-in + career development discussion","Continue monitoring"))</f>
        <v/>
      </c>
    </row>
    <row r="80">
      <c r="A80" s="61">
        <f>'Employee Data'!A81</f>
        <v/>
      </c>
      <c r="B80" s="61">
        <f>'Employee Data'!G81</f>
        <v/>
      </c>
      <c r="C80" s="61">
        <f>'Employee Data'!F81</f>
        <v/>
      </c>
      <c r="D80" s="63">
        <f>'Employee Data'!B81</f>
        <v/>
      </c>
      <c r="E80" s="63">
        <f>'Employee Data'!H81</f>
        <v/>
      </c>
      <c r="F80" s="77">
        <f>IFERROR('Employee Data'!D81/IF('Employee Data'!L81&gt;0,'Employee Data'!L81,'Employee Data'!D81*1.05),1)</f>
        <v/>
      </c>
      <c r="G80" s="63">
        <f>IF(A80="","",IF(D80&lt;=2,3,IF(D80=3,1,0))+IF(E80&lt;2,2,IF(E80&lt;4,1,0))+IF(F80&lt;0.9,2,IF(F80&lt;0.95,1,0)))</f>
        <v/>
      </c>
      <c r="H80" s="63">
        <f>IF(G80="","",IF(G80&gt;=5,"High",IF(G80&gt;=3,"Medium","Low")))</f>
        <v/>
      </c>
      <c r="I80" s="63">
        <f>IF(H80="High","Retention conversation + counter-offer review",IF(H80="Medium","Check-in + career development discussion","Continue monitoring"))</f>
        <v/>
      </c>
    </row>
    <row r="81">
      <c r="A81" s="66">
        <f>'Employee Data'!A82</f>
        <v/>
      </c>
      <c r="B81" s="66">
        <f>'Employee Data'!G82</f>
        <v/>
      </c>
      <c r="C81" s="66">
        <f>'Employee Data'!F82</f>
        <v/>
      </c>
      <c r="D81" s="68">
        <f>'Employee Data'!B82</f>
        <v/>
      </c>
      <c r="E81" s="68">
        <f>'Employee Data'!H82</f>
        <v/>
      </c>
      <c r="F81" s="78">
        <f>IFERROR('Employee Data'!D82/IF('Employee Data'!L82&gt;0,'Employee Data'!L82,'Employee Data'!D82*1.05),1)</f>
        <v/>
      </c>
      <c r="G81" s="68">
        <f>IF(A81="","",IF(D81&lt;=2,3,IF(D81=3,1,0))+IF(E81&lt;2,2,IF(E81&lt;4,1,0))+IF(F81&lt;0.9,2,IF(F81&lt;0.95,1,0)))</f>
        <v/>
      </c>
      <c r="H81" s="68">
        <f>IF(G81="","",IF(G81&gt;=5,"High",IF(G81&gt;=3,"Medium","Low")))</f>
        <v/>
      </c>
      <c r="I81" s="68">
        <f>IF(H81="High","Retention conversation + counter-offer review",IF(H81="Medium","Check-in + career development discussion","Continue monitoring"))</f>
        <v/>
      </c>
    </row>
    <row r="82">
      <c r="A82" s="61">
        <f>'Employee Data'!A83</f>
        <v/>
      </c>
      <c r="B82" s="61">
        <f>'Employee Data'!G83</f>
        <v/>
      </c>
      <c r="C82" s="61">
        <f>'Employee Data'!F83</f>
        <v/>
      </c>
      <c r="D82" s="63">
        <f>'Employee Data'!B83</f>
        <v/>
      </c>
      <c r="E82" s="63">
        <f>'Employee Data'!H83</f>
        <v/>
      </c>
      <c r="F82" s="77">
        <f>IFERROR('Employee Data'!D83/IF('Employee Data'!L83&gt;0,'Employee Data'!L83,'Employee Data'!D83*1.05),1)</f>
        <v/>
      </c>
      <c r="G82" s="63">
        <f>IF(A82="","",IF(D82&lt;=2,3,IF(D82=3,1,0))+IF(E82&lt;2,2,IF(E82&lt;4,1,0))+IF(F82&lt;0.9,2,IF(F82&lt;0.95,1,0)))</f>
        <v/>
      </c>
      <c r="H82" s="63">
        <f>IF(G82="","",IF(G82&gt;=5,"High",IF(G82&gt;=3,"Medium","Low")))</f>
        <v/>
      </c>
      <c r="I82" s="63">
        <f>IF(H82="High","Retention conversation + counter-offer review",IF(H82="Medium","Check-in + career development discussion","Continue monitoring"))</f>
        <v/>
      </c>
    </row>
    <row r="83">
      <c r="A83" s="66">
        <f>'Employee Data'!A84</f>
        <v/>
      </c>
      <c r="B83" s="66">
        <f>'Employee Data'!G84</f>
        <v/>
      </c>
      <c r="C83" s="66">
        <f>'Employee Data'!F84</f>
        <v/>
      </c>
      <c r="D83" s="68">
        <f>'Employee Data'!B84</f>
        <v/>
      </c>
      <c r="E83" s="68">
        <f>'Employee Data'!H84</f>
        <v/>
      </c>
      <c r="F83" s="78">
        <f>IFERROR('Employee Data'!D84/IF('Employee Data'!L84&gt;0,'Employee Data'!L84,'Employee Data'!D84*1.05),1)</f>
        <v/>
      </c>
      <c r="G83" s="68">
        <f>IF(A83="","",IF(D83&lt;=2,3,IF(D83=3,1,0))+IF(E83&lt;2,2,IF(E83&lt;4,1,0))+IF(F83&lt;0.9,2,IF(F83&lt;0.95,1,0)))</f>
        <v/>
      </c>
      <c r="H83" s="68">
        <f>IF(G83="","",IF(G83&gt;=5,"High",IF(G83&gt;=3,"Medium","Low")))</f>
        <v/>
      </c>
      <c r="I83" s="68">
        <f>IF(H83="High","Retention conversation + counter-offer review",IF(H83="Medium","Check-in + career development discussion","Continue monitoring"))</f>
        <v/>
      </c>
    </row>
    <row r="84">
      <c r="A84" s="61">
        <f>'Employee Data'!A85</f>
        <v/>
      </c>
      <c r="B84" s="61">
        <f>'Employee Data'!G85</f>
        <v/>
      </c>
      <c r="C84" s="61">
        <f>'Employee Data'!F85</f>
        <v/>
      </c>
      <c r="D84" s="63">
        <f>'Employee Data'!B85</f>
        <v/>
      </c>
      <c r="E84" s="63">
        <f>'Employee Data'!H85</f>
        <v/>
      </c>
      <c r="F84" s="77">
        <f>IFERROR('Employee Data'!D85/IF('Employee Data'!L85&gt;0,'Employee Data'!L85,'Employee Data'!D85*1.05),1)</f>
        <v/>
      </c>
      <c r="G84" s="63">
        <f>IF(A84="","",IF(D84&lt;=2,3,IF(D84=3,1,0))+IF(E84&lt;2,2,IF(E84&lt;4,1,0))+IF(F84&lt;0.9,2,IF(F84&lt;0.95,1,0)))</f>
        <v/>
      </c>
      <c r="H84" s="63">
        <f>IF(G84="","",IF(G84&gt;=5,"High",IF(G84&gt;=3,"Medium","Low")))</f>
        <v/>
      </c>
      <c r="I84" s="63">
        <f>IF(H84="High","Retention conversation + counter-offer review",IF(H84="Medium","Check-in + career development discussion","Continue monitoring"))</f>
        <v/>
      </c>
    </row>
    <row r="85">
      <c r="A85" s="66">
        <f>'Employee Data'!A86</f>
        <v/>
      </c>
      <c r="B85" s="66">
        <f>'Employee Data'!G86</f>
        <v/>
      </c>
      <c r="C85" s="66">
        <f>'Employee Data'!F86</f>
        <v/>
      </c>
      <c r="D85" s="68">
        <f>'Employee Data'!B86</f>
        <v/>
      </c>
      <c r="E85" s="68">
        <f>'Employee Data'!H86</f>
        <v/>
      </c>
      <c r="F85" s="78">
        <f>IFERROR('Employee Data'!D86/IF('Employee Data'!L86&gt;0,'Employee Data'!L86,'Employee Data'!D86*1.05),1)</f>
        <v/>
      </c>
      <c r="G85" s="68">
        <f>IF(A85="","",IF(D85&lt;=2,3,IF(D85=3,1,0))+IF(E85&lt;2,2,IF(E85&lt;4,1,0))+IF(F85&lt;0.9,2,IF(F85&lt;0.95,1,0)))</f>
        <v/>
      </c>
      <c r="H85" s="68">
        <f>IF(G85="","",IF(G85&gt;=5,"High",IF(G85&gt;=3,"Medium","Low")))</f>
        <v/>
      </c>
      <c r="I85" s="68">
        <f>IF(H85="High","Retention conversation + counter-offer review",IF(H85="Medium","Check-in + career development discussion","Continue monitoring"))</f>
        <v/>
      </c>
    </row>
    <row r="86">
      <c r="A86" s="61">
        <f>'Employee Data'!A87</f>
        <v/>
      </c>
      <c r="B86" s="61">
        <f>'Employee Data'!G87</f>
        <v/>
      </c>
      <c r="C86" s="61">
        <f>'Employee Data'!F87</f>
        <v/>
      </c>
      <c r="D86" s="63">
        <f>'Employee Data'!B87</f>
        <v/>
      </c>
      <c r="E86" s="63">
        <f>'Employee Data'!H87</f>
        <v/>
      </c>
      <c r="F86" s="77">
        <f>IFERROR('Employee Data'!D87/IF('Employee Data'!L87&gt;0,'Employee Data'!L87,'Employee Data'!D87*1.05),1)</f>
        <v/>
      </c>
      <c r="G86" s="63">
        <f>IF(A86="","",IF(D86&lt;=2,3,IF(D86=3,1,0))+IF(E86&lt;2,2,IF(E86&lt;4,1,0))+IF(F86&lt;0.9,2,IF(F86&lt;0.95,1,0)))</f>
        <v/>
      </c>
      <c r="H86" s="63">
        <f>IF(G86="","",IF(G86&gt;=5,"High",IF(G86&gt;=3,"Medium","Low")))</f>
        <v/>
      </c>
      <c r="I86" s="63">
        <f>IF(H86="High","Retention conversation + counter-offer review",IF(H86="Medium","Check-in + career development discussion","Continue monitoring"))</f>
        <v/>
      </c>
    </row>
    <row r="87">
      <c r="A87" s="66">
        <f>'Employee Data'!A88</f>
        <v/>
      </c>
      <c r="B87" s="66">
        <f>'Employee Data'!G88</f>
        <v/>
      </c>
      <c r="C87" s="66">
        <f>'Employee Data'!F88</f>
        <v/>
      </c>
      <c r="D87" s="68">
        <f>'Employee Data'!B88</f>
        <v/>
      </c>
      <c r="E87" s="68">
        <f>'Employee Data'!H88</f>
        <v/>
      </c>
      <c r="F87" s="78">
        <f>IFERROR('Employee Data'!D88/IF('Employee Data'!L88&gt;0,'Employee Data'!L88,'Employee Data'!D88*1.05),1)</f>
        <v/>
      </c>
      <c r="G87" s="68">
        <f>IF(A87="","",IF(D87&lt;=2,3,IF(D87=3,1,0))+IF(E87&lt;2,2,IF(E87&lt;4,1,0))+IF(F87&lt;0.9,2,IF(F87&lt;0.95,1,0)))</f>
        <v/>
      </c>
      <c r="H87" s="68">
        <f>IF(G87="","",IF(G87&gt;=5,"High",IF(G87&gt;=3,"Medium","Low")))</f>
        <v/>
      </c>
      <c r="I87" s="68">
        <f>IF(H87="High","Retention conversation + counter-offer review",IF(H87="Medium","Check-in + career development discussion","Continue monitoring"))</f>
        <v/>
      </c>
    </row>
    <row r="88">
      <c r="A88" s="61">
        <f>'Employee Data'!A89</f>
        <v/>
      </c>
      <c r="B88" s="61">
        <f>'Employee Data'!G89</f>
        <v/>
      </c>
      <c r="C88" s="61">
        <f>'Employee Data'!F89</f>
        <v/>
      </c>
      <c r="D88" s="63">
        <f>'Employee Data'!B89</f>
        <v/>
      </c>
      <c r="E88" s="63">
        <f>'Employee Data'!H89</f>
        <v/>
      </c>
      <c r="F88" s="77">
        <f>IFERROR('Employee Data'!D89/IF('Employee Data'!L89&gt;0,'Employee Data'!L89,'Employee Data'!D89*1.05),1)</f>
        <v/>
      </c>
      <c r="G88" s="63">
        <f>IF(A88="","",IF(D88&lt;=2,3,IF(D88=3,1,0))+IF(E88&lt;2,2,IF(E88&lt;4,1,0))+IF(F88&lt;0.9,2,IF(F88&lt;0.95,1,0)))</f>
        <v/>
      </c>
      <c r="H88" s="63">
        <f>IF(G88="","",IF(G88&gt;=5,"High",IF(G88&gt;=3,"Medium","Low")))</f>
        <v/>
      </c>
      <c r="I88" s="63">
        <f>IF(H88="High","Retention conversation + counter-offer review",IF(H88="Medium","Check-in + career development discussion","Continue monitoring"))</f>
        <v/>
      </c>
    </row>
    <row r="89">
      <c r="A89" s="66">
        <f>'Employee Data'!A90</f>
        <v/>
      </c>
      <c r="B89" s="66">
        <f>'Employee Data'!G90</f>
        <v/>
      </c>
      <c r="C89" s="66">
        <f>'Employee Data'!F90</f>
        <v/>
      </c>
      <c r="D89" s="68">
        <f>'Employee Data'!B90</f>
        <v/>
      </c>
      <c r="E89" s="68">
        <f>'Employee Data'!H90</f>
        <v/>
      </c>
      <c r="F89" s="78">
        <f>IFERROR('Employee Data'!D90/IF('Employee Data'!L90&gt;0,'Employee Data'!L90,'Employee Data'!D90*1.05),1)</f>
        <v/>
      </c>
      <c r="G89" s="68">
        <f>IF(A89="","",IF(D89&lt;=2,3,IF(D89=3,1,0))+IF(E89&lt;2,2,IF(E89&lt;4,1,0))+IF(F89&lt;0.9,2,IF(F89&lt;0.95,1,0)))</f>
        <v/>
      </c>
      <c r="H89" s="68">
        <f>IF(G89="","",IF(G89&gt;=5,"High",IF(G89&gt;=3,"Medium","Low")))</f>
        <v/>
      </c>
      <c r="I89" s="68">
        <f>IF(H89="High","Retention conversation + counter-offer review",IF(H89="Medium","Check-in + career development discussion","Continue monitoring"))</f>
        <v/>
      </c>
    </row>
    <row r="90">
      <c r="A90" s="61">
        <f>'Employee Data'!A91</f>
        <v/>
      </c>
      <c r="B90" s="61">
        <f>'Employee Data'!G91</f>
        <v/>
      </c>
      <c r="C90" s="61">
        <f>'Employee Data'!F91</f>
        <v/>
      </c>
      <c r="D90" s="63">
        <f>'Employee Data'!B91</f>
        <v/>
      </c>
      <c r="E90" s="63">
        <f>'Employee Data'!H91</f>
        <v/>
      </c>
      <c r="F90" s="77">
        <f>IFERROR('Employee Data'!D91/IF('Employee Data'!L91&gt;0,'Employee Data'!L91,'Employee Data'!D91*1.05),1)</f>
        <v/>
      </c>
      <c r="G90" s="63">
        <f>IF(A90="","",IF(D90&lt;=2,3,IF(D90=3,1,0))+IF(E90&lt;2,2,IF(E90&lt;4,1,0))+IF(F90&lt;0.9,2,IF(F90&lt;0.95,1,0)))</f>
        <v/>
      </c>
      <c r="H90" s="63">
        <f>IF(G90="","",IF(G90&gt;=5,"High",IF(G90&gt;=3,"Medium","Low")))</f>
        <v/>
      </c>
      <c r="I90" s="63">
        <f>IF(H90="High","Retention conversation + counter-offer review",IF(H90="Medium","Check-in + career development discussion","Continue monitoring"))</f>
        <v/>
      </c>
    </row>
    <row r="91">
      <c r="A91" s="66">
        <f>'Employee Data'!A92</f>
        <v/>
      </c>
      <c r="B91" s="66">
        <f>'Employee Data'!G92</f>
        <v/>
      </c>
      <c r="C91" s="66">
        <f>'Employee Data'!F92</f>
        <v/>
      </c>
      <c r="D91" s="68">
        <f>'Employee Data'!B92</f>
        <v/>
      </c>
      <c r="E91" s="68">
        <f>'Employee Data'!H92</f>
        <v/>
      </c>
      <c r="F91" s="78">
        <f>IFERROR('Employee Data'!D92/IF('Employee Data'!L92&gt;0,'Employee Data'!L92,'Employee Data'!D92*1.05),1)</f>
        <v/>
      </c>
      <c r="G91" s="68">
        <f>IF(A91="","",IF(D91&lt;=2,3,IF(D91=3,1,0))+IF(E91&lt;2,2,IF(E91&lt;4,1,0))+IF(F91&lt;0.9,2,IF(F91&lt;0.95,1,0)))</f>
        <v/>
      </c>
      <c r="H91" s="68">
        <f>IF(G91="","",IF(G91&gt;=5,"High",IF(G91&gt;=3,"Medium","Low")))</f>
        <v/>
      </c>
      <c r="I91" s="68">
        <f>IF(H91="High","Retention conversation + counter-offer review",IF(H91="Medium","Check-in + career development discussion","Continue monitoring"))</f>
        <v/>
      </c>
    </row>
    <row r="92">
      <c r="A92" s="61">
        <f>'Employee Data'!A93</f>
        <v/>
      </c>
      <c r="B92" s="61">
        <f>'Employee Data'!G93</f>
        <v/>
      </c>
      <c r="C92" s="61">
        <f>'Employee Data'!F93</f>
        <v/>
      </c>
      <c r="D92" s="63">
        <f>'Employee Data'!B93</f>
        <v/>
      </c>
      <c r="E92" s="63">
        <f>'Employee Data'!H93</f>
        <v/>
      </c>
      <c r="F92" s="77">
        <f>IFERROR('Employee Data'!D93/IF('Employee Data'!L93&gt;0,'Employee Data'!L93,'Employee Data'!D93*1.05),1)</f>
        <v/>
      </c>
      <c r="G92" s="63">
        <f>IF(A92="","",IF(D92&lt;=2,3,IF(D92=3,1,0))+IF(E92&lt;2,2,IF(E92&lt;4,1,0))+IF(F92&lt;0.9,2,IF(F92&lt;0.95,1,0)))</f>
        <v/>
      </c>
      <c r="H92" s="63">
        <f>IF(G92="","",IF(G92&gt;=5,"High",IF(G92&gt;=3,"Medium","Low")))</f>
        <v/>
      </c>
      <c r="I92" s="63">
        <f>IF(H92="High","Retention conversation + counter-offer review",IF(H92="Medium","Check-in + career development discussion","Continue monitoring"))</f>
        <v/>
      </c>
    </row>
    <row r="93">
      <c r="A93" s="66">
        <f>'Employee Data'!A94</f>
        <v/>
      </c>
      <c r="B93" s="66">
        <f>'Employee Data'!G94</f>
        <v/>
      </c>
      <c r="C93" s="66">
        <f>'Employee Data'!F94</f>
        <v/>
      </c>
      <c r="D93" s="68">
        <f>'Employee Data'!B94</f>
        <v/>
      </c>
      <c r="E93" s="68">
        <f>'Employee Data'!H94</f>
        <v/>
      </c>
      <c r="F93" s="78">
        <f>IFERROR('Employee Data'!D94/IF('Employee Data'!L94&gt;0,'Employee Data'!L94,'Employee Data'!D94*1.05),1)</f>
        <v/>
      </c>
      <c r="G93" s="68">
        <f>IF(A93="","",IF(D93&lt;=2,3,IF(D93=3,1,0))+IF(E93&lt;2,2,IF(E93&lt;4,1,0))+IF(F93&lt;0.9,2,IF(F93&lt;0.95,1,0)))</f>
        <v/>
      </c>
      <c r="H93" s="68">
        <f>IF(G93="","",IF(G93&gt;=5,"High",IF(G93&gt;=3,"Medium","Low")))</f>
        <v/>
      </c>
      <c r="I93" s="68">
        <f>IF(H93="High","Retention conversation + counter-offer review",IF(H93="Medium","Check-in + career development discussion","Continue monitoring"))</f>
        <v/>
      </c>
    </row>
    <row r="94">
      <c r="A94" s="61">
        <f>'Employee Data'!A95</f>
        <v/>
      </c>
      <c r="B94" s="61">
        <f>'Employee Data'!G95</f>
        <v/>
      </c>
      <c r="C94" s="61">
        <f>'Employee Data'!F95</f>
        <v/>
      </c>
      <c r="D94" s="63">
        <f>'Employee Data'!B95</f>
        <v/>
      </c>
      <c r="E94" s="63">
        <f>'Employee Data'!H95</f>
        <v/>
      </c>
      <c r="F94" s="77">
        <f>IFERROR('Employee Data'!D95/IF('Employee Data'!L95&gt;0,'Employee Data'!L95,'Employee Data'!D95*1.05),1)</f>
        <v/>
      </c>
      <c r="G94" s="63">
        <f>IF(A94="","",IF(D94&lt;=2,3,IF(D94=3,1,0))+IF(E94&lt;2,2,IF(E94&lt;4,1,0))+IF(F94&lt;0.9,2,IF(F94&lt;0.95,1,0)))</f>
        <v/>
      </c>
      <c r="H94" s="63">
        <f>IF(G94="","",IF(G94&gt;=5,"High",IF(G94&gt;=3,"Medium","Low")))</f>
        <v/>
      </c>
      <c r="I94" s="63">
        <f>IF(H94="High","Retention conversation + counter-offer review",IF(H94="Medium","Check-in + career development discussion","Continue monitoring"))</f>
        <v/>
      </c>
    </row>
    <row r="95">
      <c r="A95" s="66">
        <f>'Employee Data'!A96</f>
        <v/>
      </c>
      <c r="B95" s="66">
        <f>'Employee Data'!G96</f>
        <v/>
      </c>
      <c r="C95" s="66">
        <f>'Employee Data'!F96</f>
        <v/>
      </c>
      <c r="D95" s="68">
        <f>'Employee Data'!B96</f>
        <v/>
      </c>
      <c r="E95" s="68">
        <f>'Employee Data'!H96</f>
        <v/>
      </c>
      <c r="F95" s="78">
        <f>IFERROR('Employee Data'!D96/IF('Employee Data'!L96&gt;0,'Employee Data'!L96,'Employee Data'!D96*1.05),1)</f>
        <v/>
      </c>
      <c r="G95" s="68">
        <f>IF(A95="","",IF(D95&lt;=2,3,IF(D95=3,1,0))+IF(E95&lt;2,2,IF(E95&lt;4,1,0))+IF(F95&lt;0.9,2,IF(F95&lt;0.95,1,0)))</f>
        <v/>
      </c>
      <c r="H95" s="68">
        <f>IF(G95="","",IF(G95&gt;=5,"High",IF(G95&gt;=3,"Medium","Low")))</f>
        <v/>
      </c>
      <c r="I95" s="68">
        <f>IF(H95="High","Retention conversation + counter-offer review",IF(H95="Medium","Check-in + career development discussion","Continue monitoring"))</f>
        <v/>
      </c>
    </row>
    <row r="96">
      <c r="A96" s="61">
        <f>'Employee Data'!A97</f>
        <v/>
      </c>
      <c r="B96" s="61">
        <f>'Employee Data'!G97</f>
        <v/>
      </c>
      <c r="C96" s="61">
        <f>'Employee Data'!F97</f>
        <v/>
      </c>
      <c r="D96" s="63">
        <f>'Employee Data'!B97</f>
        <v/>
      </c>
      <c r="E96" s="63">
        <f>'Employee Data'!H97</f>
        <v/>
      </c>
      <c r="F96" s="77">
        <f>IFERROR('Employee Data'!D97/IF('Employee Data'!L97&gt;0,'Employee Data'!L97,'Employee Data'!D97*1.05),1)</f>
        <v/>
      </c>
      <c r="G96" s="63">
        <f>IF(A96="","",IF(D96&lt;=2,3,IF(D96=3,1,0))+IF(E96&lt;2,2,IF(E96&lt;4,1,0))+IF(F96&lt;0.9,2,IF(F96&lt;0.95,1,0)))</f>
        <v/>
      </c>
      <c r="H96" s="63">
        <f>IF(G96="","",IF(G96&gt;=5,"High",IF(G96&gt;=3,"Medium","Low")))</f>
        <v/>
      </c>
      <c r="I96" s="63">
        <f>IF(H96="High","Retention conversation + counter-offer review",IF(H96="Medium","Check-in + career development discussion","Continue monitoring"))</f>
        <v/>
      </c>
    </row>
    <row r="97">
      <c r="A97" s="66">
        <f>'Employee Data'!A98</f>
        <v/>
      </c>
      <c r="B97" s="66">
        <f>'Employee Data'!G98</f>
        <v/>
      </c>
      <c r="C97" s="66">
        <f>'Employee Data'!F98</f>
        <v/>
      </c>
      <c r="D97" s="68">
        <f>'Employee Data'!B98</f>
        <v/>
      </c>
      <c r="E97" s="68">
        <f>'Employee Data'!H98</f>
        <v/>
      </c>
      <c r="F97" s="78">
        <f>IFERROR('Employee Data'!D98/IF('Employee Data'!L98&gt;0,'Employee Data'!L98,'Employee Data'!D98*1.05),1)</f>
        <v/>
      </c>
      <c r="G97" s="68">
        <f>IF(A97="","",IF(D97&lt;=2,3,IF(D97=3,1,0))+IF(E97&lt;2,2,IF(E97&lt;4,1,0))+IF(F97&lt;0.9,2,IF(F97&lt;0.95,1,0)))</f>
        <v/>
      </c>
      <c r="H97" s="68">
        <f>IF(G97="","",IF(G97&gt;=5,"High",IF(G97&gt;=3,"Medium","Low")))</f>
        <v/>
      </c>
      <c r="I97" s="68">
        <f>IF(H97="High","Retention conversation + counter-offer review",IF(H97="Medium","Check-in + career development discussion","Continue monitoring"))</f>
        <v/>
      </c>
    </row>
    <row r="98">
      <c r="A98" s="61">
        <f>'Employee Data'!A99</f>
        <v/>
      </c>
      <c r="B98" s="61">
        <f>'Employee Data'!G99</f>
        <v/>
      </c>
      <c r="C98" s="61">
        <f>'Employee Data'!F99</f>
        <v/>
      </c>
      <c r="D98" s="63">
        <f>'Employee Data'!B99</f>
        <v/>
      </c>
      <c r="E98" s="63">
        <f>'Employee Data'!H99</f>
        <v/>
      </c>
      <c r="F98" s="77">
        <f>IFERROR('Employee Data'!D99/IF('Employee Data'!L99&gt;0,'Employee Data'!L99,'Employee Data'!D99*1.05),1)</f>
        <v/>
      </c>
      <c r="G98" s="63">
        <f>IF(A98="","",IF(D98&lt;=2,3,IF(D98=3,1,0))+IF(E98&lt;2,2,IF(E98&lt;4,1,0))+IF(F98&lt;0.9,2,IF(F98&lt;0.95,1,0)))</f>
        <v/>
      </c>
      <c r="H98" s="63">
        <f>IF(G98="","",IF(G98&gt;=5,"High",IF(G98&gt;=3,"Medium","Low")))</f>
        <v/>
      </c>
      <c r="I98" s="63">
        <f>IF(H98="High","Retention conversation + counter-offer review",IF(H98="Medium","Check-in + career development discussion","Continue monitoring"))</f>
        <v/>
      </c>
    </row>
    <row r="99">
      <c r="A99" s="66">
        <f>'Employee Data'!A100</f>
        <v/>
      </c>
      <c r="B99" s="66">
        <f>'Employee Data'!G100</f>
        <v/>
      </c>
      <c r="C99" s="66">
        <f>'Employee Data'!F100</f>
        <v/>
      </c>
      <c r="D99" s="68">
        <f>'Employee Data'!B100</f>
        <v/>
      </c>
      <c r="E99" s="68">
        <f>'Employee Data'!H100</f>
        <v/>
      </c>
      <c r="F99" s="78">
        <f>IFERROR('Employee Data'!D100/IF('Employee Data'!L100&gt;0,'Employee Data'!L100,'Employee Data'!D100*1.05),1)</f>
        <v/>
      </c>
      <c r="G99" s="68">
        <f>IF(A99="","",IF(D99&lt;=2,3,IF(D99=3,1,0))+IF(E99&lt;2,2,IF(E99&lt;4,1,0))+IF(F99&lt;0.9,2,IF(F99&lt;0.95,1,0)))</f>
        <v/>
      </c>
      <c r="H99" s="68">
        <f>IF(G99="","",IF(G99&gt;=5,"High",IF(G99&gt;=3,"Medium","Low")))</f>
        <v/>
      </c>
      <c r="I99" s="68">
        <f>IF(H99="High","Retention conversation + counter-offer review",IF(H99="Medium","Check-in + career development discussion","Continue monitoring"))</f>
        <v/>
      </c>
    </row>
    <row r="100">
      <c r="A100" s="61">
        <f>'Employee Data'!A101</f>
        <v/>
      </c>
      <c r="B100" s="61">
        <f>'Employee Data'!G101</f>
        <v/>
      </c>
      <c r="C100" s="61">
        <f>'Employee Data'!F101</f>
        <v/>
      </c>
      <c r="D100" s="63">
        <f>'Employee Data'!B101</f>
        <v/>
      </c>
      <c r="E100" s="63">
        <f>'Employee Data'!H101</f>
        <v/>
      </c>
      <c r="F100" s="77">
        <f>IFERROR('Employee Data'!D101/IF('Employee Data'!L101&gt;0,'Employee Data'!L101,'Employee Data'!D101*1.05),1)</f>
        <v/>
      </c>
      <c r="G100" s="63">
        <f>IF(A100="","",IF(D100&lt;=2,3,IF(D100=3,1,0))+IF(E100&lt;2,2,IF(E100&lt;4,1,0))+IF(F100&lt;0.9,2,IF(F100&lt;0.95,1,0)))</f>
        <v/>
      </c>
      <c r="H100" s="63">
        <f>IF(G100="","",IF(G100&gt;=5,"High",IF(G100&gt;=3,"Medium","Low")))</f>
        <v/>
      </c>
      <c r="I100" s="63">
        <f>IF(H100="High","Retention conversation + counter-offer review",IF(H100="Medium","Check-in + career development discussion","Continue monitoring"))</f>
        <v/>
      </c>
    </row>
    <row r="101">
      <c r="A101" s="66">
        <f>'Employee Data'!A102</f>
        <v/>
      </c>
      <c r="B101" s="66">
        <f>'Employee Data'!G102</f>
        <v/>
      </c>
      <c r="C101" s="66">
        <f>'Employee Data'!F102</f>
        <v/>
      </c>
      <c r="D101" s="68">
        <f>'Employee Data'!B102</f>
        <v/>
      </c>
      <c r="E101" s="68">
        <f>'Employee Data'!H102</f>
        <v/>
      </c>
      <c r="F101" s="78">
        <f>IFERROR('Employee Data'!D102/IF('Employee Data'!L102&gt;0,'Employee Data'!L102,'Employee Data'!D102*1.05),1)</f>
        <v/>
      </c>
      <c r="G101" s="68">
        <f>IF(A101="","",IF(D101&lt;=2,3,IF(D101=3,1,0))+IF(E101&lt;2,2,IF(E101&lt;4,1,0))+IF(F101&lt;0.9,2,IF(F101&lt;0.95,1,0)))</f>
        <v/>
      </c>
      <c r="H101" s="68">
        <f>IF(G101="","",IF(G101&gt;=5,"High",IF(G101&gt;=3,"Medium","Low")))</f>
        <v/>
      </c>
      <c r="I101" s="68">
        <f>IF(H101="High","Retention conversation + counter-offer review",IF(H101="Medium","Check-in + career development discussion","Continue monitoring"))</f>
        <v/>
      </c>
    </row>
    <row r="102">
      <c r="A102" s="61">
        <f>'Employee Data'!A103</f>
        <v/>
      </c>
      <c r="B102" s="61">
        <f>'Employee Data'!G103</f>
        <v/>
      </c>
      <c r="C102" s="61">
        <f>'Employee Data'!F103</f>
        <v/>
      </c>
      <c r="D102" s="63">
        <f>'Employee Data'!B103</f>
        <v/>
      </c>
      <c r="E102" s="63">
        <f>'Employee Data'!H103</f>
        <v/>
      </c>
      <c r="F102" s="77">
        <f>IFERROR('Employee Data'!D103/IF('Employee Data'!L103&gt;0,'Employee Data'!L103,'Employee Data'!D103*1.05),1)</f>
        <v/>
      </c>
      <c r="G102" s="63">
        <f>IF(A102="","",IF(D102&lt;=2,3,IF(D102=3,1,0))+IF(E102&lt;2,2,IF(E102&lt;4,1,0))+IF(F102&lt;0.9,2,IF(F102&lt;0.95,1,0)))</f>
        <v/>
      </c>
      <c r="H102" s="63">
        <f>IF(G102="","",IF(G102&gt;=5,"High",IF(G102&gt;=3,"Medium","Low")))</f>
        <v/>
      </c>
      <c r="I102" s="63">
        <f>IF(H102="High","Retention conversation + counter-offer review",IF(H102="Medium","Check-in + career development discussion","Continue monitoring"))</f>
        <v/>
      </c>
    </row>
    <row r="103">
      <c r="A103" s="66">
        <f>'Employee Data'!A104</f>
        <v/>
      </c>
      <c r="B103" s="66">
        <f>'Employee Data'!G104</f>
        <v/>
      </c>
      <c r="C103" s="66">
        <f>'Employee Data'!F104</f>
        <v/>
      </c>
      <c r="D103" s="68">
        <f>'Employee Data'!B104</f>
        <v/>
      </c>
      <c r="E103" s="68">
        <f>'Employee Data'!H104</f>
        <v/>
      </c>
      <c r="F103" s="78">
        <f>IFERROR('Employee Data'!D104/IF('Employee Data'!L104&gt;0,'Employee Data'!L104,'Employee Data'!D104*1.05),1)</f>
        <v/>
      </c>
      <c r="G103" s="68">
        <f>IF(A103="","",IF(D103&lt;=2,3,IF(D103=3,1,0))+IF(E103&lt;2,2,IF(E103&lt;4,1,0))+IF(F103&lt;0.9,2,IF(F103&lt;0.95,1,0)))</f>
        <v/>
      </c>
      <c r="H103" s="68">
        <f>IF(G103="","",IF(G103&gt;=5,"High",IF(G103&gt;=3,"Medium","Low")))</f>
        <v/>
      </c>
      <c r="I103" s="68">
        <f>IF(H103="High","Retention conversation + counter-offer review",IF(H103="Medium","Check-in + career development discussion","Continue monitoring"))</f>
        <v/>
      </c>
    </row>
    <row r="104">
      <c r="A104" s="61">
        <f>'Employee Data'!A105</f>
        <v/>
      </c>
      <c r="B104" s="61">
        <f>'Employee Data'!G105</f>
        <v/>
      </c>
      <c r="C104" s="61">
        <f>'Employee Data'!F105</f>
        <v/>
      </c>
      <c r="D104" s="63">
        <f>'Employee Data'!B105</f>
        <v/>
      </c>
      <c r="E104" s="63">
        <f>'Employee Data'!H105</f>
        <v/>
      </c>
      <c r="F104" s="77">
        <f>IFERROR('Employee Data'!D105/IF('Employee Data'!L105&gt;0,'Employee Data'!L105,'Employee Data'!D105*1.05),1)</f>
        <v/>
      </c>
      <c r="G104" s="63">
        <f>IF(A104="","",IF(D104&lt;=2,3,IF(D104=3,1,0))+IF(E104&lt;2,2,IF(E104&lt;4,1,0))+IF(F104&lt;0.9,2,IF(F104&lt;0.95,1,0)))</f>
        <v/>
      </c>
      <c r="H104" s="63">
        <f>IF(G104="","",IF(G104&gt;=5,"High",IF(G104&gt;=3,"Medium","Low")))</f>
        <v/>
      </c>
      <c r="I104" s="63">
        <f>IF(H104="High","Retention conversation + counter-offer review",IF(H104="Medium","Check-in + career development discussion","Continue monitoring"))</f>
        <v/>
      </c>
    </row>
    <row r="105">
      <c r="A105" s="66">
        <f>'Employee Data'!A106</f>
        <v/>
      </c>
      <c r="B105" s="66">
        <f>'Employee Data'!G106</f>
        <v/>
      </c>
      <c r="C105" s="66">
        <f>'Employee Data'!F106</f>
        <v/>
      </c>
      <c r="D105" s="68">
        <f>'Employee Data'!B106</f>
        <v/>
      </c>
      <c r="E105" s="68">
        <f>'Employee Data'!H106</f>
        <v/>
      </c>
      <c r="F105" s="78">
        <f>IFERROR('Employee Data'!D106/IF('Employee Data'!L106&gt;0,'Employee Data'!L106,'Employee Data'!D106*1.05),1)</f>
        <v/>
      </c>
      <c r="G105" s="68">
        <f>IF(A105="","",IF(D105&lt;=2,3,IF(D105=3,1,0))+IF(E105&lt;2,2,IF(E105&lt;4,1,0))+IF(F105&lt;0.9,2,IF(F105&lt;0.95,1,0)))</f>
        <v/>
      </c>
      <c r="H105" s="68">
        <f>IF(G105="","",IF(G105&gt;=5,"High",IF(G105&gt;=3,"Medium","Low")))</f>
        <v/>
      </c>
      <c r="I105" s="68">
        <f>IF(H105="High","Retention conversation + counter-offer review",IF(H105="Medium","Check-in + career development discussion","Continue monitoring"))</f>
        <v/>
      </c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6366F1"/>
    <outlinePr summaryBelow="1" summaryRight="1"/>
    <pageSetUpPr/>
  </sheetPr>
  <dimension ref="A1:I1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5" customWidth="1" min="3" max="3"/>
    <col width="10" customWidth="1" min="4" max="4"/>
    <col width="12" customWidth="1" min="5" max="5"/>
    <col width="20" customWidth="1" min="6" max="6"/>
    <col width="12" customWidth="1" min="7" max="7"/>
    <col width="22" customWidth="1" min="8" max="8"/>
    <col width="30" customWidth="1" min="9" max="9"/>
  </cols>
  <sheetData>
    <row r="1">
      <c r="A1" s="17" t="inlineStr">
        <is>
          <t>VIRORAH PMS — Succession Planning</t>
        </is>
      </c>
    </row>
    <row r="2">
      <c r="A2" s="13" t="inlineStr">
        <is>
          <t>Bench strength and succession pipeline. Shows readiness by level and department.</t>
        </is>
      </c>
    </row>
    <row r="3">
      <c r="A3" s="3" t="n"/>
    </row>
    <row r="5" ht="24" customHeight="1">
      <c r="A5" s="15" t="inlineStr">
        <is>
          <t>Employee</t>
        </is>
      </c>
      <c r="B5" s="15" t="inlineStr">
        <is>
          <t>Dept</t>
        </is>
      </c>
      <c r="C5" s="15" t="inlineStr">
        <is>
          <t>Level</t>
        </is>
      </c>
      <c r="D5" s="15" t="inlineStr">
        <is>
          <t>Perf</t>
        </is>
      </c>
      <c r="E5" s="15" t="inlineStr">
        <is>
          <t>Potential</t>
        </is>
      </c>
      <c r="F5" s="15" t="inlineStr">
        <is>
          <t>Succession Readiness</t>
        </is>
      </c>
      <c r="G5" s="15" t="inlineStr">
        <is>
          <t>Is Manager</t>
        </is>
      </c>
      <c r="H5" s="15" t="inlineStr">
        <is>
          <t>9-Box</t>
        </is>
      </c>
      <c r="I5" s="15" t="inlineStr">
        <is>
          <t>Pipeline Priority</t>
        </is>
      </c>
    </row>
    <row r="6">
      <c r="A6" s="61">
        <f>'Employee Data'!A7</f>
        <v/>
      </c>
      <c r="B6" s="61">
        <f>'Employee Data'!G7</f>
        <v/>
      </c>
      <c r="C6" s="61">
        <f>'Employee Data'!F7</f>
        <v/>
      </c>
      <c r="D6" s="61">
        <f>'Employee Data'!B7</f>
        <v/>
      </c>
      <c r="E6" s="61">
        <f>'Employee Data'!C7</f>
        <v/>
      </c>
      <c r="F6" s="61">
        <f>'Employee Data'!J7</f>
        <v/>
      </c>
      <c r="G6" s="61">
        <f>'Employee Data'!K7</f>
        <v/>
      </c>
      <c r="H6" s="61">
        <f>'Employee Data'!N7</f>
        <v/>
      </c>
      <c r="I6" s="63">
        <f>IF(A6="","",IF(F6="Ready Now","Immediate Succession",IF(AND(D6&gt;=4,E6&gt;=3),"High Priority Development","Standard Pipeline")))</f>
        <v/>
      </c>
    </row>
    <row r="7">
      <c r="A7" s="66">
        <f>'Employee Data'!A8</f>
        <v/>
      </c>
      <c r="B7" s="66">
        <f>'Employee Data'!G8</f>
        <v/>
      </c>
      <c r="C7" s="66">
        <f>'Employee Data'!F8</f>
        <v/>
      </c>
      <c r="D7" s="66">
        <f>'Employee Data'!B8</f>
        <v/>
      </c>
      <c r="E7" s="66">
        <f>'Employee Data'!C8</f>
        <v/>
      </c>
      <c r="F7" s="66">
        <f>'Employee Data'!J8</f>
        <v/>
      </c>
      <c r="G7" s="66">
        <f>'Employee Data'!K8</f>
        <v/>
      </c>
      <c r="H7" s="66">
        <f>'Employee Data'!N8</f>
        <v/>
      </c>
      <c r="I7" s="68">
        <f>IF(A7="","",IF(F7="Ready Now","Immediate Succession",IF(AND(D7&gt;=4,E7&gt;=3),"High Priority Development","Standard Pipeline")))</f>
        <v/>
      </c>
    </row>
    <row r="8">
      <c r="A8" s="61">
        <f>'Employee Data'!A9</f>
        <v/>
      </c>
      <c r="B8" s="61">
        <f>'Employee Data'!G9</f>
        <v/>
      </c>
      <c r="C8" s="61">
        <f>'Employee Data'!F9</f>
        <v/>
      </c>
      <c r="D8" s="61">
        <f>'Employee Data'!B9</f>
        <v/>
      </c>
      <c r="E8" s="61">
        <f>'Employee Data'!C9</f>
        <v/>
      </c>
      <c r="F8" s="61">
        <f>'Employee Data'!J9</f>
        <v/>
      </c>
      <c r="G8" s="61">
        <f>'Employee Data'!K9</f>
        <v/>
      </c>
      <c r="H8" s="61">
        <f>'Employee Data'!N9</f>
        <v/>
      </c>
      <c r="I8" s="63">
        <f>IF(A8="","",IF(F8="Ready Now","Immediate Succession",IF(AND(D8&gt;=4,E8&gt;=3),"High Priority Development","Standard Pipeline")))</f>
        <v/>
      </c>
    </row>
    <row r="9">
      <c r="A9" s="66">
        <f>'Employee Data'!A10</f>
        <v/>
      </c>
      <c r="B9" s="66">
        <f>'Employee Data'!G10</f>
        <v/>
      </c>
      <c r="C9" s="66">
        <f>'Employee Data'!F10</f>
        <v/>
      </c>
      <c r="D9" s="66">
        <f>'Employee Data'!B10</f>
        <v/>
      </c>
      <c r="E9" s="66">
        <f>'Employee Data'!C10</f>
        <v/>
      </c>
      <c r="F9" s="66">
        <f>'Employee Data'!J10</f>
        <v/>
      </c>
      <c r="G9" s="66">
        <f>'Employee Data'!K10</f>
        <v/>
      </c>
      <c r="H9" s="66">
        <f>'Employee Data'!N10</f>
        <v/>
      </c>
      <c r="I9" s="68">
        <f>IF(A9="","",IF(F9="Ready Now","Immediate Succession",IF(AND(D9&gt;=4,E9&gt;=3),"High Priority Development","Standard Pipeline")))</f>
        <v/>
      </c>
    </row>
    <row r="10">
      <c r="A10" s="61">
        <f>'Employee Data'!A11</f>
        <v/>
      </c>
      <c r="B10" s="61">
        <f>'Employee Data'!G11</f>
        <v/>
      </c>
      <c r="C10" s="61">
        <f>'Employee Data'!F11</f>
        <v/>
      </c>
      <c r="D10" s="61">
        <f>'Employee Data'!B11</f>
        <v/>
      </c>
      <c r="E10" s="61">
        <f>'Employee Data'!C11</f>
        <v/>
      </c>
      <c r="F10" s="61">
        <f>'Employee Data'!J11</f>
        <v/>
      </c>
      <c r="G10" s="61">
        <f>'Employee Data'!K11</f>
        <v/>
      </c>
      <c r="H10" s="61">
        <f>'Employee Data'!N11</f>
        <v/>
      </c>
      <c r="I10" s="63">
        <f>IF(A10="","",IF(F10="Ready Now","Immediate Succession",IF(AND(D10&gt;=4,E10&gt;=3),"High Priority Development","Standard Pipeline")))</f>
        <v/>
      </c>
    </row>
    <row r="11">
      <c r="A11" s="66">
        <f>'Employee Data'!A12</f>
        <v/>
      </c>
      <c r="B11" s="66">
        <f>'Employee Data'!G12</f>
        <v/>
      </c>
      <c r="C11" s="66">
        <f>'Employee Data'!F12</f>
        <v/>
      </c>
      <c r="D11" s="66">
        <f>'Employee Data'!B12</f>
        <v/>
      </c>
      <c r="E11" s="66">
        <f>'Employee Data'!C12</f>
        <v/>
      </c>
      <c r="F11" s="66">
        <f>'Employee Data'!J12</f>
        <v/>
      </c>
      <c r="G11" s="66">
        <f>'Employee Data'!K12</f>
        <v/>
      </c>
      <c r="H11" s="66">
        <f>'Employee Data'!N12</f>
        <v/>
      </c>
      <c r="I11" s="68">
        <f>IF(A11="","",IF(F11="Ready Now","Immediate Succession",IF(AND(D11&gt;=4,E11&gt;=3),"High Priority Development","Standard Pipeline")))</f>
        <v/>
      </c>
    </row>
    <row r="12">
      <c r="A12" s="61">
        <f>'Employee Data'!A13</f>
        <v/>
      </c>
      <c r="B12" s="61">
        <f>'Employee Data'!G13</f>
        <v/>
      </c>
      <c r="C12" s="61">
        <f>'Employee Data'!F13</f>
        <v/>
      </c>
      <c r="D12" s="61">
        <f>'Employee Data'!B13</f>
        <v/>
      </c>
      <c r="E12" s="61">
        <f>'Employee Data'!C13</f>
        <v/>
      </c>
      <c r="F12" s="61">
        <f>'Employee Data'!J13</f>
        <v/>
      </c>
      <c r="G12" s="61">
        <f>'Employee Data'!K13</f>
        <v/>
      </c>
      <c r="H12" s="61">
        <f>'Employee Data'!N13</f>
        <v/>
      </c>
      <c r="I12" s="63">
        <f>IF(A12="","",IF(F12="Ready Now","Immediate Succession",IF(AND(D12&gt;=4,E12&gt;=3),"High Priority Development","Standard Pipeline")))</f>
        <v/>
      </c>
    </row>
    <row r="13">
      <c r="A13" s="66">
        <f>'Employee Data'!A14</f>
        <v/>
      </c>
      <c r="B13" s="66">
        <f>'Employee Data'!G14</f>
        <v/>
      </c>
      <c r="C13" s="66">
        <f>'Employee Data'!F14</f>
        <v/>
      </c>
      <c r="D13" s="66">
        <f>'Employee Data'!B14</f>
        <v/>
      </c>
      <c r="E13" s="66">
        <f>'Employee Data'!C14</f>
        <v/>
      </c>
      <c r="F13" s="66">
        <f>'Employee Data'!J14</f>
        <v/>
      </c>
      <c r="G13" s="66">
        <f>'Employee Data'!K14</f>
        <v/>
      </c>
      <c r="H13" s="66">
        <f>'Employee Data'!N14</f>
        <v/>
      </c>
      <c r="I13" s="68">
        <f>IF(A13="","",IF(F13="Ready Now","Immediate Succession",IF(AND(D13&gt;=4,E13&gt;=3),"High Priority Development","Standard Pipeline")))</f>
        <v/>
      </c>
    </row>
    <row r="14">
      <c r="A14" s="61">
        <f>'Employee Data'!A15</f>
        <v/>
      </c>
      <c r="B14" s="61">
        <f>'Employee Data'!G15</f>
        <v/>
      </c>
      <c r="C14" s="61">
        <f>'Employee Data'!F15</f>
        <v/>
      </c>
      <c r="D14" s="61">
        <f>'Employee Data'!B15</f>
        <v/>
      </c>
      <c r="E14" s="61">
        <f>'Employee Data'!C15</f>
        <v/>
      </c>
      <c r="F14" s="61">
        <f>'Employee Data'!J15</f>
        <v/>
      </c>
      <c r="G14" s="61">
        <f>'Employee Data'!K15</f>
        <v/>
      </c>
      <c r="H14" s="61">
        <f>'Employee Data'!N15</f>
        <v/>
      </c>
      <c r="I14" s="63">
        <f>IF(A14="","",IF(F14="Ready Now","Immediate Succession",IF(AND(D14&gt;=4,E14&gt;=3),"High Priority Development","Standard Pipeline")))</f>
        <v/>
      </c>
    </row>
    <row r="15">
      <c r="A15" s="66">
        <f>'Employee Data'!A16</f>
        <v/>
      </c>
      <c r="B15" s="66">
        <f>'Employee Data'!G16</f>
        <v/>
      </c>
      <c r="C15" s="66">
        <f>'Employee Data'!F16</f>
        <v/>
      </c>
      <c r="D15" s="66">
        <f>'Employee Data'!B16</f>
        <v/>
      </c>
      <c r="E15" s="66">
        <f>'Employee Data'!C16</f>
        <v/>
      </c>
      <c r="F15" s="66">
        <f>'Employee Data'!J16</f>
        <v/>
      </c>
      <c r="G15" s="66">
        <f>'Employee Data'!K16</f>
        <v/>
      </c>
      <c r="H15" s="66">
        <f>'Employee Data'!N16</f>
        <v/>
      </c>
      <c r="I15" s="68">
        <f>IF(A15="","",IF(F15="Ready Now","Immediate Succession",IF(AND(D15&gt;=4,E15&gt;=3),"High Priority Development","Standard Pipeline")))</f>
        <v/>
      </c>
    </row>
    <row r="16">
      <c r="A16" s="61">
        <f>'Employee Data'!A17</f>
        <v/>
      </c>
      <c r="B16" s="61">
        <f>'Employee Data'!G17</f>
        <v/>
      </c>
      <c r="C16" s="61">
        <f>'Employee Data'!F17</f>
        <v/>
      </c>
      <c r="D16" s="61">
        <f>'Employee Data'!B17</f>
        <v/>
      </c>
      <c r="E16" s="61">
        <f>'Employee Data'!C17</f>
        <v/>
      </c>
      <c r="F16" s="61">
        <f>'Employee Data'!J17</f>
        <v/>
      </c>
      <c r="G16" s="61">
        <f>'Employee Data'!K17</f>
        <v/>
      </c>
      <c r="H16" s="61">
        <f>'Employee Data'!N17</f>
        <v/>
      </c>
      <c r="I16" s="63">
        <f>IF(A16="","",IF(F16="Ready Now","Immediate Succession",IF(AND(D16&gt;=4,E16&gt;=3),"High Priority Development","Standard Pipeline")))</f>
        <v/>
      </c>
    </row>
    <row r="17">
      <c r="A17" s="66">
        <f>'Employee Data'!A18</f>
        <v/>
      </c>
      <c r="B17" s="66">
        <f>'Employee Data'!G18</f>
        <v/>
      </c>
      <c r="C17" s="66">
        <f>'Employee Data'!F18</f>
        <v/>
      </c>
      <c r="D17" s="66">
        <f>'Employee Data'!B18</f>
        <v/>
      </c>
      <c r="E17" s="66">
        <f>'Employee Data'!C18</f>
        <v/>
      </c>
      <c r="F17" s="66">
        <f>'Employee Data'!J18</f>
        <v/>
      </c>
      <c r="G17" s="66">
        <f>'Employee Data'!K18</f>
        <v/>
      </c>
      <c r="H17" s="66">
        <f>'Employee Data'!N18</f>
        <v/>
      </c>
      <c r="I17" s="68">
        <f>IF(A17="","",IF(F17="Ready Now","Immediate Succession",IF(AND(D17&gt;=4,E17&gt;=3),"High Priority Development","Standard Pipeline")))</f>
        <v/>
      </c>
    </row>
    <row r="18">
      <c r="A18" s="61">
        <f>'Employee Data'!A19</f>
        <v/>
      </c>
      <c r="B18" s="61">
        <f>'Employee Data'!G19</f>
        <v/>
      </c>
      <c r="C18" s="61">
        <f>'Employee Data'!F19</f>
        <v/>
      </c>
      <c r="D18" s="61">
        <f>'Employee Data'!B19</f>
        <v/>
      </c>
      <c r="E18" s="61">
        <f>'Employee Data'!C19</f>
        <v/>
      </c>
      <c r="F18" s="61">
        <f>'Employee Data'!J19</f>
        <v/>
      </c>
      <c r="G18" s="61">
        <f>'Employee Data'!K19</f>
        <v/>
      </c>
      <c r="H18" s="61">
        <f>'Employee Data'!N19</f>
        <v/>
      </c>
      <c r="I18" s="63">
        <f>IF(A18="","",IF(F18="Ready Now","Immediate Succession",IF(AND(D18&gt;=4,E18&gt;=3),"High Priority Development","Standard Pipeline")))</f>
        <v/>
      </c>
    </row>
    <row r="19">
      <c r="A19" s="66">
        <f>'Employee Data'!A20</f>
        <v/>
      </c>
      <c r="B19" s="66">
        <f>'Employee Data'!G20</f>
        <v/>
      </c>
      <c r="C19" s="66">
        <f>'Employee Data'!F20</f>
        <v/>
      </c>
      <c r="D19" s="66">
        <f>'Employee Data'!B20</f>
        <v/>
      </c>
      <c r="E19" s="66">
        <f>'Employee Data'!C20</f>
        <v/>
      </c>
      <c r="F19" s="66">
        <f>'Employee Data'!J20</f>
        <v/>
      </c>
      <c r="G19" s="66">
        <f>'Employee Data'!K20</f>
        <v/>
      </c>
      <c r="H19" s="66">
        <f>'Employee Data'!N20</f>
        <v/>
      </c>
      <c r="I19" s="68">
        <f>IF(A19="","",IF(F19="Ready Now","Immediate Succession",IF(AND(D19&gt;=4,E19&gt;=3),"High Priority Development","Standard Pipeline")))</f>
        <v/>
      </c>
    </row>
    <row r="20">
      <c r="A20" s="61">
        <f>'Employee Data'!A21</f>
        <v/>
      </c>
      <c r="B20" s="61">
        <f>'Employee Data'!G21</f>
        <v/>
      </c>
      <c r="C20" s="61">
        <f>'Employee Data'!F21</f>
        <v/>
      </c>
      <c r="D20" s="61">
        <f>'Employee Data'!B21</f>
        <v/>
      </c>
      <c r="E20" s="61">
        <f>'Employee Data'!C21</f>
        <v/>
      </c>
      <c r="F20" s="61">
        <f>'Employee Data'!J21</f>
        <v/>
      </c>
      <c r="G20" s="61">
        <f>'Employee Data'!K21</f>
        <v/>
      </c>
      <c r="H20" s="61">
        <f>'Employee Data'!N21</f>
        <v/>
      </c>
      <c r="I20" s="63">
        <f>IF(A20="","",IF(F20="Ready Now","Immediate Succession",IF(AND(D20&gt;=4,E20&gt;=3),"High Priority Development","Standard Pipeline")))</f>
        <v/>
      </c>
    </row>
    <row r="21">
      <c r="A21" s="66">
        <f>'Employee Data'!A22</f>
        <v/>
      </c>
      <c r="B21" s="66">
        <f>'Employee Data'!G22</f>
        <v/>
      </c>
      <c r="C21" s="66">
        <f>'Employee Data'!F22</f>
        <v/>
      </c>
      <c r="D21" s="66">
        <f>'Employee Data'!B22</f>
        <v/>
      </c>
      <c r="E21" s="66">
        <f>'Employee Data'!C22</f>
        <v/>
      </c>
      <c r="F21" s="66">
        <f>'Employee Data'!J22</f>
        <v/>
      </c>
      <c r="G21" s="66">
        <f>'Employee Data'!K22</f>
        <v/>
      </c>
      <c r="H21" s="66">
        <f>'Employee Data'!N22</f>
        <v/>
      </c>
      <c r="I21" s="68">
        <f>IF(A21="","",IF(F21="Ready Now","Immediate Succession",IF(AND(D21&gt;=4,E21&gt;=3),"High Priority Development","Standard Pipeline")))</f>
        <v/>
      </c>
    </row>
    <row r="22">
      <c r="A22" s="61">
        <f>'Employee Data'!A23</f>
        <v/>
      </c>
      <c r="B22" s="61">
        <f>'Employee Data'!G23</f>
        <v/>
      </c>
      <c r="C22" s="61">
        <f>'Employee Data'!F23</f>
        <v/>
      </c>
      <c r="D22" s="61">
        <f>'Employee Data'!B23</f>
        <v/>
      </c>
      <c r="E22" s="61">
        <f>'Employee Data'!C23</f>
        <v/>
      </c>
      <c r="F22" s="61">
        <f>'Employee Data'!J23</f>
        <v/>
      </c>
      <c r="G22" s="61">
        <f>'Employee Data'!K23</f>
        <v/>
      </c>
      <c r="H22" s="61">
        <f>'Employee Data'!N23</f>
        <v/>
      </c>
      <c r="I22" s="63">
        <f>IF(A22="","",IF(F22="Ready Now","Immediate Succession",IF(AND(D22&gt;=4,E22&gt;=3),"High Priority Development","Standard Pipeline")))</f>
        <v/>
      </c>
    </row>
    <row r="23">
      <c r="A23" s="66">
        <f>'Employee Data'!A24</f>
        <v/>
      </c>
      <c r="B23" s="66">
        <f>'Employee Data'!G24</f>
        <v/>
      </c>
      <c r="C23" s="66">
        <f>'Employee Data'!F24</f>
        <v/>
      </c>
      <c r="D23" s="66">
        <f>'Employee Data'!B24</f>
        <v/>
      </c>
      <c r="E23" s="66">
        <f>'Employee Data'!C24</f>
        <v/>
      </c>
      <c r="F23" s="66">
        <f>'Employee Data'!J24</f>
        <v/>
      </c>
      <c r="G23" s="66">
        <f>'Employee Data'!K24</f>
        <v/>
      </c>
      <c r="H23" s="66">
        <f>'Employee Data'!N24</f>
        <v/>
      </c>
      <c r="I23" s="68">
        <f>IF(A23="","",IF(F23="Ready Now","Immediate Succession",IF(AND(D23&gt;=4,E23&gt;=3),"High Priority Development","Standard Pipeline")))</f>
        <v/>
      </c>
    </row>
    <row r="24">
      <c r="A24" s="61">
        <f>'Employee Data'!A25</f>
        <v/>
      </c>
      <c r="B24" s="61">
        <f>'Employee Data'!G25</f>
        <v/>
      </c>
      <c r="C24" s="61">
        <f>'Employee Data'!F25</f>
        <v/>
      </c>
      <c r="D24" s="61">
        <f>'Employee Data'!B25</f>
        <v/>
      </c>
      <c r="E24" s="61">
        <f>'Employee Data'!C25</f>
        <v/>
      </c>
      <c r="F24" s="61">
        <f>'Employee Data'!J25</f>
        <v/>
      </c>
      <c r="G24" s="61">
        <f>'Employee Data'!K25</f>
        <v/>
      </c>
      <c r="H24" s="61">
        <f>'Employee Data'!N25</f>
        <v/>
      </c>
      <c r="I24" s="63">
        <f>IF(A24="","",IF(F24="Ready Now","Immediate Succession",IF(AND(D24&gt;=4,E24&gt;=3),"High Priority Development","Standard Pipeline")))</f>
        <v/>
      </c>
    </row>
    <row r="25">
      <c r="A25" s="66">
        <f>'Employee Data'!A26</f>
        <v/>
      </c>
      <c r="B25" s="66">
        <f>'Employee Data'!G26</f>
        <v/>
      </c>
      <c r="C25" s="66">
        <f>'Employee Data'!F26</f>
        <v/>
      </c>
      <c r="D25" s="66">
        <f>'Employee Data'!B26</f>
        <v/>
      </c>
      <c r="E25" s="66">
        <f>'Employee Data'!C26</f>
        <v/>
      </c>
      <c r="F25" s="66">
        <f>'Employee Data'!J26</f>
        <v/>
      </c>
      <c r="G25" s="66">
        <f>'Employee Data'!K26</f>
        <v/>
      </c>
      <c r="H25" s="66">
        <f>'Employee Data'!N26</f>
        <v/>
      </c>
      <c r="I25" s="68">
        <f>IF(A25="","",IF(F25="Ready Now","Immediate Succession",IF(AND(D25&gt;=4,E25&gt;=3),"High Priority Development","Standard Pipeline")))</f>
        <v/>
      </c>
    </row>
    <row r="26">
      <c r="A26" s="61">
        <f>'Employee Data'!A27</f>
        <v/>
      </c>
      <c r="B26" s="61">
        <f>'Employee Data'!G27</f>
        <v/>
      </c>
      <c r="C26" s="61">
        <f>'Employee Data'!F27</f>
        <v/>
      </c>
      <c r="D26" s="61">
        <f>'Employee Data'!B27</f>
        <v/>
      </c>
      <c r="E26" s="61">
        <f>'Employee Data'!C27</f>
        <v/>
      </c>
      <c r="F26" s="61">
        <f>'Employee Data'!J27</f>
        <v/>
      </c>
      <c r="G26" s="61">
        <f>'Employee Data'!K27</f>
        <v/>
      </c>
      <c r="H26" s="61">
        <f>'Employee Data'!N27</f>
        <v/>
      </c>
      <c r="I26" s="63">
        <f>IF(A26="","",IF(F26="Ready Now","Immediate Succession",IF(AND(D26&gt;=4,E26&gt;=3),"High Priority Development","Standard Pipeline")))</f>
        <v/>
      </c>
    </row>
    <row r="27">
      <c r="A27" s="66">
        <f>'Employee Data'!A28</f>
        <v/>
      </c>
      <c r="B27" s="66">
        <f>'Employee Data'!G28</f>
        <v/>
      </c>
      <c r="C27" s="66">
        <f>'Employee Data'!F28</f>
        <v/>
      </c>
      <c r="D27" s="66">
        <f>'Employee Data'!B28</f>
        <v/>
      </c>
      <c r="E27" s="66">
        <f>'Employee Data'!C28</f>
        <v/>
      </c>
      <c r="F27" s="66">
        <f>'Employee Data'!J28</f>
        <v/>
      </c>
      <c r="G27" s="66">
        <f>'Employee Data'!K28</f>
        <v/>
      </c>
      <c r="H27" s="66">
        <f>'Employee Data'!N28</f>
        <v/>
      </c>
      <c r="I27" s="68">
        <f>IF(A27="","",IF(F27="Ready Now","Immediate Succession",IF(AND(D27&gt;=4,E27&gt;=3),"High Priority Development","Standard Pipeline")))</f>
        <v/>
      </c>
    </row>
    <row r="28">
      <c r="A28" s="61">
        <f>'Employee Data'!A29</f>
        <v/>
      </c>
      <c r="B28" s="61">
        <f>'Employee Data'!G29</f>
        <v/>
      </c>
      <c r="C28" s="61">
        <f>'Employee Data'!F29</f>
        <v/>
      </c>
      <c r="D28" s="61">
        <f>'Employee Data'!B29</f>
        <v/>
      </c>
      <c r="E28" s="61">
        <f>'Employee Data'!C29</f>
        <v/>
      </c>
      <c r="F28" s="61">
        <f>'Employee Data'!J29</f>
        <v/>
      </c>
      <c r="G28" s="61">
        <f>'Employee Data'!K29</f>
        <v/>
      </c>
      <c r="H28" s="61">
        <f>'Employee Data'!N29</f>
        <v/>
      </c>
      <c r="I28" s="63">
        <f>IF(A28="","",IF(F28="Ready Now","Immediate Succession",IF(AND(D28&gt;=4,E28&gt;=3),"High Priority Development","Standard Pipeline")))</f>
        <v/>
      </c>
    </row>
    <row r="29">
      <c r="A29" s="66">
        <f>'Employee Data'!A30</f>
        <v/>
      </c>
      <c r="B29" s="66">
        <f>'Employee Data'!G30</f>
        <v/>
      </c>
      <c r="C29" s="66">
        <f>'Employee Data'!F30</f>
        <v/>
      </c>
      <c r="D29" s="66">
        <f>'Employee Data'!B30</f>
        <v/>
      </c>
      <c r="E29" s="66">
        <f>'Employee Data'!C30</f>
        <v/>
      </c>
      <c r="F29" s="66">
        <f>'Employee Data'!J30</f>
        <v/>
      </c>
      <c r="G29" s="66">
        <f>'Employee Data'!K30</f>
        <v/>
      </c>
      <c r="H29" s="66">
        <f>'Employee Data'!N30</f>
        <v/>
      </c>
      <c r="I29" s="68">
        <f>IF(A29="","",IF(F29="Ready Now","Immediate Succession",IF(AND(D29&gt;=4,E29&gt;=3),"High Priority Development","Standard Pipeline")))</f>
        <v/>
      </c>
    </row>
    <row r="30">
      <c r="A30" s="61">
        <f>'Employee Data'!A31</f>
        <v/>
      </c>
      <c r="B30" s="61">
        <f>'Employee Data'!G31</f>
        <v/>
      </c>
      <c r="C30" s="61">
        <f>'Employee Data'!F31</f>
        <v/>
      </c>
      <c r="D30" s="61">
        <f>'Employee Data'!B31</f>
        <v/>
      </c>
      <c r="E30" s="61">
        <f>'Employee Data'!C31</f>
        <v/>
      </c>
      <c r="F30" s="61">
        <f>'Employee Data'!J31</f>
        <v/>
      </c>
      <c r="G30" s="61">
        <f>'Employee Data'!K31</f>
        <v/>
      </c>
      <c r="H30" s="61">
        <f>'Employee Data'!N31</f>
        <v/>
      </c>
      <c r="I30" s="63">
        <f>IF(A30="","",IF(F30="Ready Now","Immediate Succession",IF(AND(D30&gt;=4,E30&gt;=3),"High Priority Development","Standard Pipeline")))</f>
        <v/>
      </c>
    </row>
    <row r="31">
      <c r="A31" s="66">
        <f>'Employee Data'!A32</f>
        <v/>
      </c>
      <c r="B31" s="66">
        <f>'Employee Data'!G32</f>
        <v/>
      </c>
      <c r="C31" s="66">
        <f>'Employee Data'!F32</f>
        <v/>
      </c>
      <c r="D31" s="66">
        <f>'Employee Data'!B32</f>
        <v/>
      </c>
      <c r="E31" s="66">
        <f>'Employee Data'!C32</f>
        <v/>
      </c>
      <c r="F31" s="66">
        <f>'Employee Data'!J32</f>
        <v/>
      </c>
      <c r="G31" s="66">
        <f>'Employee Data'!K32</f>
        <v/>
      </c>
      <c r="H31" s="66">
        <f>'Employee Data'!N32</f>
        <v/>
      </c>
      <c r="I31" s="68">
        <f>IF(A31="","",IF(F31="Ready Now","Immediate Succession",IF(AND(D31&gt;=4,E31&gt;=3),"High Priority Development","Standard Pipeline")))</f>
        <v/>
      </c>
    </row>
    <row r="32">
      <c r="A32" s="61">
        <f>'Employee Data'!A33</f>
        <v/>
      </c>
      <c r="B32" s="61">
        <f>'Employee Data'!G33</f>
        <v/>
      </c>
      <c r="C32" s="61">
        <f>'Employee Data'!F33</f>
        <v/>
      </c>
      <c r="D32" s="61">
        <f>'Employee Data'!B33</f>
        <v/>
      </c>
      <c r="E32" s="61">
        <f>'Employee Data'!C33</f>
        <v/>
      </c>
      <c r="F32" s="61">
        <f>'Employee Data'!J33</f>
        <v/>
      </c>
      <c r="G32" s="61">
        <f>'Employee Data'!K33</f>
        <v/>
      </c>
      <c r="H32" s="61">
        <f>'Employee Data'!N33</f>
        <v/>
      </c>
      <c r="I32" s="63">
        <f>IF(A32="","",IF(F32="Ready Now","Immediate Succession",IF(AND(D32&gt;=4,E32&gt;=3),"High Priority Development","Standard Pipeline")))</f>
        <v/>
      </c>
    </row>
    <row r="33">
      <c r="A33" s="66">
        <f>'Employee Data'!A34</f>
        <v/>
      </c>
      <c r="B33" s="66">
        <f>'Employee Data'!G34</f>
        <v/>
      </c>
      <c r="C33" s="66">
        <f>'Employee Data'!F34</f>
        <v/>
      </c>
      <c r="D33" s="66">
        <f>'Employee Data'!B34</f>
        <v/>
      </c>
      <c r="E33" s="66">
        <f>'Employee Data'!C34</f>
        <v/>
      </c>
      <c r="F33" s="66">
        <f>'Employee Data'!J34</f>
        <v/>
      </c>
      <c r="G33" s="66">
        <f>'Employee Data'!K34</f>
        <v/>
      </c>
      <c r="H33" s="66">
        <f>'Employee Data'!N34</f>
        <v/>
      </c>
      <c r="I33" s="68">
        <f>IF(A33="","",IF(F33="Ready Now","Immediate Succession",IF(AND(D33&gt;=4,E33&gt;=3),"High Priority Development","Standard Pipeline")))</f>
        <v/>
      </c>
    </row>
    <row r="34">
      <c r="A34" s="61">
        <f>'Employee Data'!A35</f>
        <v/>
      </c>
      <c r="B34" s="61">
        <f>'Employee Data'!G35</f>
        <v/>
      </c>
      <c r="C34" s="61">
        <f>'Employee Data'!F35</f>
        <v/>
      </c>
      <c r="D34" s="61">
        <f>'Employee Data'!B35</f>
        <v/>
      </c>
      <c r="E34" s="61">
        <f>'Employee Data'!C35</f>
        <v/>
      </c>
      <c r="F34" s="61">
        <f>'Employee Data'!J35</f>
        <v/>
      </c>
      <c r="G34" s="61">
        <f>'Employee Data'!K35</f>
        <v/>
      </c>
      <c r="H34" s="61">
        <f>'Employee Data'!N35</f>
        <v/>
      </c>
      <c r="I34" s="63">
        <f>IF(A34="","",IF(F34="Ready Now","Immediate Succession",IF(AND(D34&gt;=4,E34&gt;=3),"High Priority Development","Standard Pipeline")))</f>
        <v/>
      </c>
    </row>
    <row r="35">
      <c r="A35" s="66">
        <f>'Employee Data'!A36</f>
        <v/>
      </c>
      <c r="B35" s="66">
        <f>'Employee Data'!G36</f>
        <v/>
      </c>
      <c r="C35" s="66">
        <f>'Employee Data'!F36</f>
        <v/>
      </c>
      <c r="D35" s="66">
        <f>'Employee Data'!B36</f>
        <v/>
      </c>
      <c r="E35" s="66">
        <f>'Employee Data'!C36</f>
        <v/>
      </c>
      <c r="F35" s="66">
        <f>'Employee Data'!J36</f>
        <v/>
      </c>
      <c r="G35" s="66">
        <f>'Employee Data'!K36</f>
        <v/>
      </c>
      <c r="H35" s="66">
        <f>'Employee Data'!N36</f>
        <v/>
      </c>
      <c r="I35" s="68">
        <f>IF(A35="","",IF(F35="Ready Now","Immediate Succession",IF(AND(D35&gt;=4,E35&gt;=3),"High Priority Development","Standard Pipeline")))</f>
        <v/>
      </c>
    </row>
    <row r="36">
      <c r="A36" s="61">
        <f>'Employee Data'!A37</f>
        <v/>
      </c>
      <c r="B36" s="61">
        <f>'Employee Data'!G37</f>
        <v/>
      </c>
      <c r="C36" s="61">
        <f>'Employee Data'!F37</f>
        <v/>
      </c>
      <c r="D36" s="61">
        <f>'Employee Data'!B37</f>
        <v/>
      </c>
      <c r="E36" s="61">
        <f>'Employee Data'!C37</f>
        <v/>
      </c>
      <c r="F36" s="61">
        <f>'Employee Data'!J37</f>
        <v/>
      </c>
      <c r="G36" s="61">
        <f>'Employee Data'!K37</f>
        <v/>
      </c>
      <c r="H36" s="61">
        <f>'Employee Data'!N37</f>
        <v/>
      </c>
      <c r="I36" s="63">
        <f>IF(A36="","",IF(F36="Ready Now","Immediate Succession",IF(AND(D36&gt;=4,E36&gt;=3),"High Priority Development","Standard Pipeline")))</f>
        <v/>
      </c>
    </row>
    <row r="37">
      <c r="A37" s="66">
        <f>'Employee Data'!A38</f>
        <v/>
      </c>
      <c r="B37" s="66">
        <f>'Employee Data'!G38</f>
        <v/>
      </c>
      <c r="C37" s="66">
        <f>'Employee Data'!F38</f>
        <v/>
      </c>
      <c r="D37" s="66">
        <f>'Employee Data'!B38</f>
        <v/>
      </c>
      <c r="E37" s="66">
        <f>'Employee Data'!C38</f>
        <v/>
      </c>
      <c r="F37" s="66">
        <f>'Employee Data'!J38</f>
        <v/>
      </c>
      <c r="G37" s="66">
        <f>'Employee Data'!K38</f>
        <v/>
      </c>
      <c r="H37" s="66">
        <f>'Employee Data'!N38</f>
        <v/>
      </c>
      <c r="I37" s="68">
        <f>IF(A37="","",IF(F37="Ready Now","Immediate Succession",IF(AND(D37&gt;=4,E37&gt;=3),"High Priority Development","Standard Pipeline")))</f>
        <v/>
      </c>
    </row>
    <row r="38">
      <c r="A38" s="61">
        <f>'Employee Data'!A39</f>
        <v/>
      </c>
      <c r="B38" s="61">
        <f>'Employee Data'!G39</f>
        <v/>
      </c>
      <c r="C38" s="61">
        <f>'Employee Data'!F39</f>
        <v/>
      </c>
      <c r="D38" s="61">
        <f>'Employee Data'!B39</f>
        <v/>
      </c>
      <c r="E38" s="61">
        <f>'Employee Data'!C39</f>
        <v/>
      </c>
      <c r="F38" s="61">
        <f>'Employee Data'!J39</f>
        <v/>
      </c>
      <c r="G38" s="61">
        <f>'Employee Data'!K39</f>
        <v/>
      </c>
      <c r="H38" s="61">
        <f>'Employee Data'!N39</f>
        <v/>
      </c>
      <c r="I38" s="63">
        <f>IF(A38="","",IF(F38="Ready Now","Immediate Succession",IF(AND(D38&gt;=4,E38&gt;=3),"High Priority Development","Standard Pipeline")))</f>
        <v/>
      </c>
    </row>
    <row r="39">
      <c r="A39" s="66">
        <f>'Employee Data'!A40</f>
        <v/>
      </c>
      <c r="B39" s="66">
        <f>'Employee Data'!G40</f>
        <v/>
      </c>
      <c r="C39" s="66">
        <f>'Employee Data'!F40</f>
        <v/>
      </c>
      <c r="D39" s="66">
        <f>'Employee Data'!B40</f>
        <v/>
      </c>
      <c r="E39" s="66">
        <f>'Employee Data'!C40</f>
        <v/>
      </c>
      <c r="F39" s="66">
        <f>'Employee Data'!J40</f>
        <v/>
      </c>
      <c r="G39" s="66">
        <f>'Employee Data'!K40</f>
        <v/>
      </c>
      <c r="H39" s="66">
        <f>'Employee Data'!N40</f>
        <v/>
      </c>
      <c r="I39" s="68">
        <f>IF(A39="","",IF(F39="Ready Now","Immediate Succession",IF(AND(D39&gt;=4,E39&gt;=3),"High Priority Development","Standard Pipeline")))</f>
        <v/>
      </c>
    </row>
    <row r="40">
      <c r="A40" s="61">
        <f>'Employee Data'!A41</f>
        <v/>
      </c>
      <c r="B40" s="61">
        <f>'Employee Data'!G41</f>
        <v/>
      </c>
      <c r="C40" s="61">
        <f>'Employee Data'!F41</f>
        <v/>
      </c>
      <c r="D40" s="61">
        <f>'Employee Data'!B41</f>
        <v/>
      </c>
      <c r="E40" s="61">
        <f>'Employee Data'!C41</f>
        <v/>
      </c>
      <c r="F40" s="61">
        <f>'Employee Data'!J41</f>
        <v/>
      </c>
      <c r="G40" s="61">
        <f>'Employee Data'!K41</f>
        <v/>
      </c>
      <c r="H40" s="61">
        <f>'Employee Data'!N41</f>
        <v/>
      </c>
      <c r="I40" s="63">
        <f>IF(A40="","",IF(F40="Ready Now","Immediate Succession",IF(AND(D40&gt;=4,E40&gt;=3),"High Priority Development","Standard Pipeline")))</f>
        <v/>
      </c>
    </row>
    <row r="41">
      <c r="A41" s="66">
        <f>'Employee Data'!A42</f>
        <v/>
      </c>
      <c r="B41" s="66">
        <f>'Employee Data'!G42</f>
        <v/>
      </c>
      <c r="C41" s="66">
        <f>'Employee Data'!F42</f>
        <v/>
      </c>
      <c r="D41" s="66">
        <f>'Employee Data'!B42</f>
        <v/>
      </c>
      <c r="E41" s="66">
        <f>'Employee Data'!C42</f>
        <v/>
      </c>
      <c r="F41" s="66">
        <f>'Employee Data'!J42</f>
        <v/>
      </c>
      <c r="G41" s="66">
        <f>'Employee Data'!K42</f>
        <v/>
      </c>
      <c r="H41" s="66">
        <f>'Employee Data'!N42</f>
        <v/>
      </c>
      <c r="I41" s="68">
        <f>IF(A41="","",IF(F41="Ready Now","Immediate Succession",IF(AND(D41&gt;=4,E41&gt;=3),"High Priority Development","Standard Pipeline")))</f>
        <v/>
      </c>
    </row>
    <row r="42">
      <c r="A42" s="61">
        <f>'Employee Data'!A43</f>
        <v/>
      </c>
      <c r="B42" s="61">
        <f>'Employee Data'!G43</f>
        <v/>
      </c>
      <c r="C42" s="61">
        <f>'Employee Data'!F43</f>
        <v/>
      </c>
      <c r="D42" s="61">
        <f>'Employee Data'!B43</f>
        <v/>
      </c>
      <c r="E42" s="61">
        <f>'Employee Data'!C43</f>
        <v/>
      </c>
      <c r="F42" s="61">
        <f>'Employee Data'!J43</f>
        <v/>
      </c>
      <c r="G42" s="61">
        <f>'Employee Data'!K43</f>
        <v/>
      </c>
      <c r="H42" s="61">
        <f>'Employee Data'!N43</f>
        <v/>
      </c>
      <c r="I42" s="63">
        <f>IF(A42="","",IF(F42="Ready Now","Immediate Succession",IF(AND(D42&gt;=4,E42&gt;=3),"High Priority Development","Standard Pipeline")))</f>
        <v/>
      </c>
    </row>
    <row r="43">
      <c r="A43" s="66">
        <f>'Employee Data'!A44</f>
        <v/>
      </c>
      <c r="B43" s="66">
        <f>'Employee Data'!G44</f>
        <v/>
      </c>
      <c r="C43" s="66">
        <f>'Employee Data'!F44</f>
        <v/>
      </c>
      <c r="D43" s="66">
        <f>'Employee Data'!B44</f>
        <v/>
      </c>
      <c r="E43" s="66">
        <f>'Employee Data'!C44</f>
        <v/>
      </c>
      <c r="F43" s="66">
        <f>'Employee Data'!J44</f>
        <v/>
      </c>
      <c r="G43" s="66">
        <f>'Employee Data'!K44</f>
        <v/>
      </c>
      <c r="H43" s="66">
        <f>'Employee Data'!N44</f>
        <v/>
      </c>
      <c r="I43" s="68">
        <f>IF(A43="","",IF(F43="Ready Now","Immediate Succession",IF(AND(D43&gt;=4,E43&gt;=3),"High Priority Development","Standard Pipeline")))</f>
        <v/>
      </c>
    </row>
    <row r="44">
      <c r="A44" s="61">
        <f>'Employee Data'!A45</f>
        <v/>
      </c>
      <c r="B44" s="61">
        <f>'Employee Data'!G45</f>
        <v/>
      </c>
      <c r="C44" s="61">
        <f>'Employee Data'!F45</f>
        <v/>
      </c>
      <c r="D44" s="61">
        <f>'Employee Data'!B45</f>
        <v/>
      </c>
      <c r="E44" s="61">
        <f>'Employee Data'!C45</f>
        <v/>
      </c>
      <c r="F44" s="61">
        <f>'Employee Data'!J45</f>
        <v/>
      </c>
      <c r="G44" s="61">
        <f>'Employee Data'!K45</f>
        <v/>
      </c>
      <c r="H44" s="61">
        <f>'Employee Data'!N45</f>
        <v/>
      </c>
      <c r="I44" s="63">
        <f>IF(A44="","",IF(F44="Ready Now","Immediate Succession",IF(AND(D44&gt;=4,E44&gt;=3),"High Priority Development","Standard Pipeline")))</f>
        <v/>
      </c>
    </row>
    <row r="45">
      <c r="A45" s="66">
        <f>'Employee Data'!A46</f>
        <v/>
      </c>
      <c r="B45" s="66">
        <f>'Employee Data'!G46</f>
        <v/>
      </c>
      <c r="C45" s="66">
        <f>'Employee Data'!F46</f>
        <v/>
      </c>
      <c r="D45" s="66">
        <f>'Employee Data'!B46</f>
        <v/>
      </c>
      <c r="E45" s="66">
        <f>'Employee Data'!C46</f>
        <v/>
      </c>
      <c r="F45" s="66">
        <f>'Employee Data'!J46</f>
        <v/>
      </c>
      <c r="G45" s="66">
        <f>'Employee Data'!K46</f>
        <v/>
      </c>
      <c r="H45" s="66">
        <f>'Employee Data'!N46</f>
        <v/>
      </c>
      <c r="I45" s="68">
        <f>IF(A45="","",IF(F45="Ready Now","Immediate Succession",IF(AND(D45&gt;=4,E45&gt;=3),"High Priority Development","Standard Pipeline")))</f>
        <v/>
      </c>
    </row>
    <row r="46">
      <c r="A46" s="61">
        <f>'Employee Data'!A47</f>
        <v/>
      </c>
      <c r="B46" s="61">
        <f>'Employee Data'!G47</f>
        <v/>
      </c>
      <c r="C46" s="61">
        <f>'Employee Data'!F47</f>
        <v/>
      </c>
      <c r="D46" s="61">
        <f>'Employee Data'!B47</f>
        <v/>
      </c>
      <c r="E46" s="61">
        <f>'Employee Data'!C47</f>
        <v/>
      </c>
      <c r="F46" s="61">
        <f>'Employee Data'!J47</f>
        <v/>
      </c>
      <c r="G46" s="61">
        <f>'Employee Data'!K47</f>
        <v/>
      </c>
      <c r="H46" s="61">
        <f>'Employee Data'!N47</f>
        <v/>
      </c>
      <c r="I46" s="63">
        <f>IF(A46="","",IF(F46="Ready Now","Immediate Succession",IF(AND(D46&gt;=4,E46&gt;=3),"High Priority Development","Standard Pipeline")))</f>
        <v/>
      </c>
    </row>
    <row r="47">
      <c r="A47" s="66">
        <f>'Employee Data'!A48</f>
        <v/>
      </c>
      <c r="B47" s="66">
        <f>'Employee Data'!G48</f>
        <v/>
      </c>
      <c r="C47" s="66">
        <f>'Employee Data'!F48</f>
        <v/>
      </c>
      <c r="D47" s="66">
        <f>'Employee Data'!B48</f>
        <v/>
      </c>
      <c r="E47" s="66">
        <f>'Employee Data'!C48</f>
        <v/>
      </c>
      <c r="F47" s="66">
        <f>'Employee Data'!J48</f>
        <v/>
      </c>
      <c r="G47" s="66">
        <f>'Employee Data'!K48</f>
        <v/>
      </c>
      <c r="H47" s="66">
        <f>'Employee Data'!N48</f>
        <v/>
      </c>
      <c r="I47" s="68">
        <f>IF(A47="","",IF(F47="Ready Now","Immediate Succession",IF(AND(D47&gt;=4,E47&gt;=3),"High Priority Development","Standard Pipeline")))</f>
        <v/>
      </c>
    </row>
    <row r="48">
      <c r="A48" s="61">
        <f>'Employee Data'!A49</f>
        <v/>
      </c>
      <c r="B48" s="61">
        <f>'Employee Data'!G49</f>
        <v/>
      </c>
      <c r="C48" s="61">
        <f>'Employee Data'!F49</f>
        <v/>
      </c>
      <c r="D48" s="61">
        <f>'Employee Data'!B49</f>
        <v/>
      </c>
      <c r="E48" s="61">
        <f>'Employee Data'!C49</f>
        <v/>
      </c>
      <c r="F48" s="61">
        <f>'Employee Data'!J49</f>
        <v/>
      </c>
      <c r="G48" s="61">
        <f>'Employee Data'!K49</f>
        <v/>
      </c>
      <c r="H48" s="61">
        <f>'Employee Data'!N49</f>
        <v/>
      </c>
      <c r="I48" s="63">
        <f>IF(A48="","",IF(F48="Ready Now","Immediate Succession",IF(AND(D48&gt;=4,E48&gt;=3),"High Priority Development","Standard Pipeline")))</f>
        <v/>
      </c>
    </row>
    <row r="49">
      <c r="A49" s="66">
        <f>'Employee Data'!A50</f>
        <v/>
      </c>
      <c r="B49" s="66">
        <f>'Employee Data'!G50</f>
        <v/>
      </c>
      <c r="C49" s="66">
        <f>'Employee Data'!F50</f>
        <v/>
      </c>
      <c r="D49" s="66">
        <f>'Employee Data'!B50</f>
        <v/>
      </c>
      <c r="E49" s="66">
        <f>'Employee Data'!C50</f>
        <v/>
      </c>
      <c r="F49" s="66">
        <f>'Employee Data'!J50</f>
        <v/>
      </c>
      <c r="G49" s="66">
        <f>'Employee Data'!K50</f>
        <v/>
      </c>
      <c r="H49" s="66">
        <f>'Employee Data'!N50</f>
        <v/>
      </c>
      <c r="I49" s="68">
        <f>IF(A49="","",IF(F49="Ready Now","Immediate Succession",IF(AND(D49&gt;=4,E49&gt;=3),"High Priority Development","Standard Pipeline")))</f>
        <v/>
      </c>
    </row>
    <row r="50">
      <c r="A50" s="61">
        <f>'Employee Data'!A51</f>
        <v/>
      </c>
      <c r="B50" s="61">
        <f>'Employee Data'!G51</f>
        <v/>
      </c>
      <c r="C50" s="61">
        <f>'Employee Data'!F51</f>
        <v/>
      </c>
      <c r="D50" s="61">
        <f>'Employee Data'!B51</f>
        <v/>
      </c>
      <c r="E50" s="61">
        <f>'Employee Data'!C51</f>
        <v/>
      </c>
      <c r="F50" s="61">
        <f>'Employee Data'!J51</f>
        <v/>
      </c>
      <c r="G50" s="61">
        <f>'Employee Data'!K51</f>
        <v/>
      </c>
      <c r="H50" s="61">
        <f>'Employee Data'!N51</f>
        <v/>
      </c>
      <c r="I50" s="63">
        <f>IF(A50="","",IF(F50="Ready Now","Immediate Succession",IF(AND(D50&gt;=4,E50&gt;=3),"High Priority Development","Standard Pipeline")))</f>
        <v/>
      </c>
    </row>
    <row r="51">
      <c r="A51" s="66">
        <f>'Employee Data'!A52</f>
        <v/>
      </c>
      <c r="B51" s="66">
        <f>'Employee Data'!G52</f>
        <v/>
      </c>
      <c r="C51" s="66">
        <f>'Employee Data'!F52</f>
        <v/>
      </c>
      <c r="D51" s="66">
        <f>'Employee Data'!B52</f>
        <v/>
      </c>
      <c r="E51" s="66">
        <f>'Employee Data'!C52</f>
        <v/>
      </c>
      <c r="F51" s="66">
        <f>'Employee Data'!J52</f>
        <v/>
      </c>
      <c r="G51" s="66">
        <f>'Employee Data'!K52</f>
        <v/>
      </c>
      <c r="H51" s="66">
        <f>'Employee Data'!N52</f>
        <v/>
      </c>
      <c r="I51" s="68">
        <f>IF(A51="","",IF(F51="Ready Now","Immediate Succession",IF(AND(D51&gt;=4,E51&gt;=3),"High Priority Development","Standard Pipeline")))</f>
        <v/>
      </c>
    </row>
    <row r="52">
      <c r="A52" s="61">
        <f>'Employee Data'!A53</f>
        <v/>
      </c>
      <c r="B52" s="61">
        <f>'Employee Data'!G53</f>
        <v/>
      </c>
      <c r="C52" s="61">
        <f>'Employee Data'!F53</f>
        <v/>
      </c>
      <c r="D52" s="61">
        <f>'Employee Data'!B53</f>
        <v/>
      </c>
      <c r="E52" s="61">
        <f>'Employee Data'!C53</f>
        <v/>
      </c>
      <c r="F52" s="61">
        <f>'Employee Data'!J53</f>
        <v/>
      </c>
      <c r="G52" s="61">
        <f>'Employee Data'!K53</f>
        <v/>
      </c>
      <c r="H52" s="61">
        <f>'Employee Data'!N53</f>
        <v/>
      </c>
      <c r="I52" s="63">
        <f>IF(A52="","",IF(F52="Ready Now","Immediate Succession",IF(AND(D52&gt;=4,E52&gt;=3),"High Priority Development","Standard Pipeline")))</f>
        <v/>
      </c>
    </row>
    <row r="53">
      <c r="A53" s="66">
        <f>'Employee Data'!A54</f>
        <v/>
      </c>
      <c r="B53" s="66">
        <f>'Employee Data'!G54</f>
        <v/>
      </c>
      <c r="C53" s="66">
        <f>'Employee Data'!F54</f>
        <v/>
      </c>
      <c r="D53" s="66">
        <f>'Employee Data'!B54</f>
        <v/>
      </c>
      <c r="E53" s="66">
        <f>'Employee Data'!C54</f>
        <v/>
      </c>
      <c r="F53" s="66">
        <f>'Employee Data'!J54</f>
        <v/>
      </c>
      <c r="G53" s="66">
        <f>'Employee Data'!K54</f>
        <v/>
      </c>
      <c r="H53" s="66">
        <f>'Employee Data'!N54</f>
        <v/>
      </c>
      <c r="I53" s="68">
        <f>IF(A53="","",IF(F53="Ready Now","Immediate Succession",IF(AND(D53&gt;=4,E53&gt;=3),"High Priority Development","Standard Pipeline")))</f>
        <v/>
      </c>
    </row>
    <row r="54">
      <c r="A54" s="61">
        <f>'Employee Data'!A55</f>
        <v/>
      </c>
      <c r="B54" s="61">
        <f>'Employee Data'!G55</f>
        <v/>
      </c>
      <c r="C54" s="61">
        <f>'Employee Data'!F55</f>
        <v/>
      </c>
      <c r="D54" s="61">
        <f>'Employee Data'!B55</f>
        <v/>
      </c>
      <c r="E54" s="61">
        <f>'Employee Data'!C55</f>
        <v/>
      </c>
      <c r="F54" s="61">
        <f>'Employee Data'!J55</f>
        <v/>
      </c>
      <c r="G54" s="61">
        <f>'Employee Data'!K55</f>
        <v/>
      </c>
      <c r="H54" s="61">
        <f>'Employee Data'!N55</f>
        <v/>
      </c>
      <c r="I54" s="63">
        <f>IF(A54="","",IF(F54="Ready Now","Immediate Succession",IF(AND(D54&gt;=4,E54&gt;=3),"High Priority Development","Standard Pipeline")))</f>
        <v/>
      </c>
    </row>
    <row r="55">
      <c r="A55" s="66">
        <f>'Employee Data'!A56</f>
        <v/>
      </c>
      <c r="B55" s="66">
        <f>'Employee Data'!G56</f>
        <v/>
      </c>
      <c r="C55" s="66">
        <f>'Employee Data'!F56</f>
        <v/>
      </c>
      <c r="D55" s="66">
        <f>'Employee Data'!B56</f>
        <v/>
      </c>
      <c r="E55" s="66">
        <f>'Employee Data'!C56</f>
        <v/>
      </c>
      <c r="F55" s="66">
        <f>'Employee Data'!J56</f>
        <v/>
      </c>
      <c r="G55" s="66">
        <f>'Employee Data'!K56</f>
        <v/>
      </c>
      <c r="H55" s="66">
        <f>'Employee Data'!N56</f>
        <v/>
      </c>
      <c r="I55" s="68">
        <f>IF(A55="","",IF(F55="Ready Now","Immediate Succession",IF(AND(D55&gt;=4,E55&gt;=3),"High Priority Development","Standard Pipeline")))</f>
        <v/>
      </c>
    </row>
    <row r="56">
      <c r="A56" s="61">
        <f>'Employee Data'!A57</f>
        <v/>
      </c>
      <c r="B56" s="61">
        <f>'Employee Data'!G57</f>
        <v/>
      </c>
      <c r="C56" s="61">
        <f>'Employee Data'!F57</f>
        <v/>
      </c>
      <c r="D56" s="61">
        <f>'Employee Data'!B57</f>
        <v/>
      </c>
      <c r="E56" s="61">
        <f>'Employee Data'!C57</f>
        <v/>
      </c>
      <c r="F56" s="61">
        <f>'Employee Data'!J57</f>
        <v/>
      </c>
      <c r="G56" s="61">
        <f>'Employee Data'!K57</f>
        <v/>
      </c>
      <c r="H56" s="61">
        <f>'Employee Data'!N57</f>
        <v/>
      </c>
      <c r="I56" s="63">
        <f>IF(A56="","",IF(F56="Ready Now","Immediate Succession",IF(AND(D56&gt;=4,E56&gt;=3),"High Priority Development","Standard Pipeline")))</f>
        <v/>
      </c>
    </row>
    <row r="57">
      <c r="A57" s="66">
        <f>'Employee Data'!A58</f>
        <v/>
      </c>
      <c r="B57" s="66">
        <f>'Employee Data'!G58</f>
        <v/>
      </c>
      <c r="C57" s="66">
        <f>'Employee Data'!F58</f>
        <v/>
      </c>
      <c r="D57" s="66">
        <f>'Employee Data'!B58</f>
        <v/>
      </c>
      <c r="E57" s="66">
        <f>'Employee Data'!C58</f>
        <v/>
      </c>
      <c r="F57" s="66">
        <f>'Employee Data'!J58</f>
        <v/>
      </c>
      <c r="G57" s="66">
        <f>'Employee Data'!K58</f>
        <v/>
      </c>
      <c r="H57" s="66">
        <f>'Employee Data'!N58</f>
        <v/>
      </c>
      <c r="I57" s="68">
        <f>IF(A57="","",IF(F57="Ready Now","Immediate Succession",IF(AND(D57&gt;=4,E57&gt;=3),"High Priority Development","Standard Pipeline")))</f>
        <v/>
      </c>
    </row>
    <row r="58">
      <c r="A58" s="61">
        <f>'Employee Data'!A59</f>
        <v/>
      </c>
      <c r="B58" s="61">
        <f>'Employee Data'!G59</f>
        <v/>
      </c>
      <c r="C58" s="61">
        <f>'Employee Data'!F59</f>
        <v/>
      </c>
      <c r="D58" s="61">
        <f>'Employee Data'!B59</f>
        <v/>
      </c>
      <c r="E58" s="61">
        <f>'Employee Data'!C59</f>
        <v/>
      </c>
      <c r="F58" s="61">
        <f>'Employee Data'!J59</f>
        <v/>
      </c>
      <c r="G58" s="61">
        <f>'Employee Data'!K59</f>
        <v/>
      </c>
      <c r="H58" s="61">
        <f>'Employee Data'!N59</f>
        <v/>
      </c>
      <c r="I58" s="63">
        <f>IF(A58="","",IF(F58="Ready Now","Immediate Succession",IF(AND(D58&gt;=4,E58&gt;=3),"High Priority Development","Standard Pipeline")))</f>
        <v/>
      </c>
    </row>
    <row r="59">
      <c r="A59" s="66">
        <f>'Employee Data'!A60</f>
        <v/>
      </c>
      <c r="B59" s="66">
        <f>'Employee Data'!G60</f>
        <v/>
      </c>
      <c r="C59" s="66">
        <f>'Employee Data'!F60</f>
        <v/>
      </c>
      <c r="D59" s="66">
        <f>'Employee Data'!B60</f>
        <v/>
      </c>
      <c r="E59" s="66">
        <f>'Employee Data'!C60</f>
        <v/>
      </c>
      <c r="F59" s="66">
        <f>'Employee Data'!J60</f>
        <v/>
      </c>
      <c r="G59" s="66">
        <f>'Employee Data'!K60</f>
        <v/>
      </c>
      <c r="H59" s="66">
        <f>'Employee Data'!N60</f>
        <v/>
      </c>
      <c r="I59" s="68">
        <f>IF(A59="","",IF(F59="Ready Now","Immediate Succession",IF(AND(D59&gt;=4,E59&gt;=3),"High Priority Development","Standard Pipeline")))</f>
        <v/>
      </c>
    </row>
    <row r="60">
      <c r="A60" s="61">
        <f>'Employee Data'!A61</f>
        <v/>
      </c>
      <c r="B60" s="61">
        <f>'Employee Data'!G61</f>
        <v/>
      </c>
      <c r="C60" s="61">
        <f>'Employee Data'!F61</f>
        <v/>
      </c>
      <c r="D60" s="61">
        <f>'Employee Data'!B61</f>
        <v/>
      </c>
      <c r="E60" s="61">
        <f>'Employee Data'!C61</f>
        <v/>
      </c>
      <c r="F60" s="61">
        <f>'Employee Data'!J61</f>
        <v/>
      </c>
      <c r="G60" s="61">
        <f>'Employee Data'!K61</f>
        <v/>
      </c>
      <c r="H60" s="61">
        <f>'Employee Data'!N61</f>
        <v/>
      </c>
      <c r="I60" s="63">
        <f>IF(A60="","",IF(F60="Ready Now","Immediate Succession",IF(AND(D60&gt;=4,E60&gt;=3),"High Priority Development","Standard Pipeline")))</f>
        <v/>
      </c>
    </row>
    <row r="61">
      <c r="A61" s="66">
        <f>'Employee Data'!A62</f>
        <v/>
      </c>
      <c r="B61" s="66">
        <f>'Employee Data'!G62</f>
        <v/>
      </c>
      <c r="C61" s="66">
        <f>'Employee Data'!F62</f>
        <v/>
      </c>
      <c r="D61" s="66">
        <f>'Employee Data'!B62</f>
        <v/>
      </c>
      <c r="E61" s="66">
        <f>'Employee Data'!C62</f>
        <v/>
      </c>
      <c r="F61" s="66">
        <f>'Employee Data'!J62</f>
        <v/>
      </c>
      <c r="G61" s="66">
        <f>'Employee Data'!K62</f>
        <v/>
      </c>
      <c r="H61" s="66">
        <f>'Employee Data'!N62</f>
        <v/>
      </c>
      <c r="I61" s="68">
        <f>IF(A61="","",IF(F61="Ready Now","Immediate Succession",IF(AND(D61&gt;=4,E61&gt;=3),"High Priority Development","Standard Pipeline")))</f>
        <v/>
      </c>
    </row>
    <row r="62">
      <c r="A62" s="61">
        <f>'Employee Data'!A63</f>
        <v/>
      </c>
      <c r="B62" s="61">
        <f>'Employee Data'!G63</f>
        <v/>
      </c>
      <c r="C62" s="61">
        <f>'Employee Data'!F63</f>
        <v/>
      </c>
      <c r="D62" s="61">
        <f>'Employee Data'!B63</f>
        <v/>
      </c>
      <c r="E62" s="61">
        <f>'Employee Data'!C63</f>
        <v/>
      </c>
      <c r="F62" s="61">
        <f>'Employee Data'!J63</f>
        <v/>
      </c>
      <c r="G62" s="61">
        <f>'Employee Data'!K63</f>
        <v/>
      </c>
      <c r="H62" s="61">
        <f>'Employee Data'!N63</f>
        <v/>
      </c>
      <c r="I62" s="63">
        <f>IF(A62="","",IF(F62="Ready Now","Immediate Succession",IF(AND(D62&gt;=4,E62&gt;=3),"High Priority Development","Standard Pipeline")))</f>
        <v/>
      </c>
    </row>
    <row r="63">
      <c r="A63" s="66">
        <f>'Employee Data'!A64</f>
        <v/>
      </c>
      <c r="B63" s="66">
        <f>'Employee Data'!G64</f>
        <v/>
      </c>
      <c r="C63" s="66">
        <f>'Employee Data'!F64</f>
        <v/>
      </c>
      <c r="D63" s="66">
        <f>'Employee Data'!B64</f>
        <v/>
      </c>
      <c r="E63" s="66">
        <f>'Employee Data'!C64</f>
        <v/>
      </c>
      <c r="F63" s="66">
        <f>'Employee Data'!J64</f>
        <v/>
      </c>
      <c r="G63" s="66">
        <f>'Employee Data'!K64</f>
        <v/>
      </c>
      <c r="H63" s="66">
        <f>'Employee Data'!N64</f>
        <v/>
      </c>
      <c r="I63" s="68">
        <f>IF(A63="","",IF(F63="Ready Now","Immediate Succession",IF(AND(D63&gt;=4,E63&gt;=3),"High Priority Development","Standard Pipeline")))</f>
        <v/>
      </c>
    </row>
    <row r="64">
      <c r="A64" s="61">
        <f>'Employee Data'!A65</f>
        <v/>
      </c>
      <c r="B64" s="61">
        <f>'Employee Data'!G65</f>
        <v/>
      </c>
      <c r="C64" s="61">
        <f>'Employee Data'!F65</f>
        <v/>
      </c>
      <c r="D64" s="61">
        <f>'Employee Data'!B65</f>
        <v/>
      </c>
      <c r="E64" s="61">
        <f>'Employee Data'!C65</f>
        <v/>
      </c>
      <c r="F64" s="61">
        <f>'Employee Data'!J65</f>
        <v/>
      </c>
      <c r="G64" s="61">
        <f>'Employee Data'!K65</f>
        <v/>
      </c>
      <c r="H64" s="61">
        <f>'Employee Data'!N65</f>
        <v/>
      </c>
      <c r="I64" s="63">
        <f>IF(A64="","",IF(F64="Ready Now","Immediate Succession",IF(AND(D64&gt;=4,E64&gt;=3),"High Priority Development","Standard Pipeline")))</f>
        <v/>
      </c>
    </row>
    <row r="65">
      <c r="A65" s="66">
        <f>'Employee Data'!A66</f>
        <v/>
      </c>
      <c r="B65" s="66">
        <f>'Employee Data'!G66</f>
        <v/>
      </c>
      <c r="C65" s="66">
        <f>'Employee Data'!F66</f>
        <v/>
      </c>
      <c r="D65" s="66">
        <f>'Employee Data'!B66</f>
        <v/>
      </c>
      <c r="E65" s="66">
        <f>'Employee Data'!C66</f>
        <v/>
      </c>
      <c r="F65" s="66">
        <f>'Employee Data'!J66</f>
        <v/>
      </c>
      <c r="G65" s="66">
        <f>'Employee Data'!K66</f>
        <v/>
      </c>
      <c r="H65" s="66">
        <f>'Employee Data'!N66</f>
        <v/>
      </c>
      <c r="I65" s="68">
        <f>IF(A65="","",IF(F65="Ready Now","Immediate Succession",IF(AND(D65&gt;=4,E65&gt;=3),"High Priority Development","Standard Pipeline")))</f>
        <v/>
      </c>
    </row>
    <row r="66">
      <c r="A66" s="61">
        <f>'Employee Data'!A67</f>
        <v/>
      </c>
      <c r="B66" s="61">
        <f>'Employee Data'!G67</f>
        <v/>
      </c>
      <c r="C66" s="61">
        <f>'Employee Data'!F67</f>
        <v/>
      </c>
      <c r="D66" s="61">
        <f>'Employee Data'!B67</f>
        <v/>
      </c>
      <c r="E66" s="61">
        <f>'Employee Data'!C67</f>
        <v/>
      </c>
      <c r="F66" s="61">
        <f>'Employee Data'!J67</f>
        <v/>
      </c>
      <c r="G66" s="61">
        <f>'Employee Data'!K67</f>
        <v/>
      </c>
      <c r="H66" s="61">
        <f>'Employee Data'!N67</f>
        <v/>
      </c>
      <c r="I66" s="63">
        <f>IF(A66="","",IF(F66="Ready Now","Immediate Succession",IF(AND(D66&gt;=4,E66&gt;=3),"High Priority Development","Standard Pipeline")))</f>
        <v/>
      </c>
    </row>
    <row r="67">
      <c r="A67" s="66">
        <f>'Employee Data'!A68</f>
        <v/>
      </c>
      <c r="B67" s="66">
        <f>'Employee Data'!G68</f>
        <v/>
      </c>
      <c r="C67" s="66">
        <f>'Employee Data'!F68</f>
        <v/>
      </c>
      <c r="D67" s="66">
        <f>'Employee Data'!B68</f>
        <v/>
      </c>
      <c r="E67" s="66">
        <f>'Employee Data'!C68</f>
        <v/>
      </c>
      <c r="F67" s="66">
        <f>'Employee Data'!J68</f>
        <v/>
      </c>
      <c r="G67" s="66">
        <f>'Employee Data'!K68</f>
        <v/>
      </c>
      <c r="H67" s="66">
        <f>'Employee Data'!N68</f>
        <v/>
      </c>
      <c r="I67" s="68">
        <f>IF(A67="","",IF(F67="Ready Now","Immediate Succession",IF(AND(D67&gt;=4,E67&gt;=3),"High Priority Development","Standard Pipeline")))</f>
        <v/>
      </c>
    </row>
    <row r="68">
      <c r="A68" s="61">
        <f>'Employee Data'!A69</f>
        <v/>
      </c>
      <c r="B68" s="61">
        <f>'Employee Data'!G69</f>
        <v/>
      </c>
      <c r="C68" s="61">
        <f>'Employee Data'!F69</f>
        <v/>
      </c>
      <c r="D68" s="61">
        <f>'Employee Data'!B69</f>
        <v/>
      </c>
      <c r="E68" s="61">
        <f>'Employee Data'!C69</f>
        <v/>
      </c>
      <c r="F68" s="61">
        <f>'Employee Data'!J69</f>
        <v/>
      </c>
      <c r="G68" s="61">
        <f>'Employee Data'!K69</f>
        <v/>
      </c>
      <c r="H68" s="61">
        <f>'Employee Data'!N69</f>
        <v/>
      </c>
      <c r="I68" s="63">
        <f>IF(A68="","",IF(F68="Ready Now","Immediate Succession",IF(AND(D68&gt;=4,E68&gt;=3),"High Priority Development","Standard Pipeline")))</f>
        <v/>
      </c>
    </row>
    <row r="69">
      <c r="A69" s="66">
        <f>'Employee Data'!A70</f>
        <v/>
      </c>
      <c r="B69" s="66">
        <f>'Employee Data'!G70</f>
        <v/>
      </c>
      <c r="C69" s="66">
        <f>'Employee Data'!F70</f>
        <v/>
      </c>
      <c r="D69" s="66">
        <f>'Employee Data'!B70</f>
        <v/>
      </c>
      <c r="E69" s="66">
        <f>'Employee Data'!C70</f>
        <v/>
      </c>
      <c r="F69" s="66">
        <f>'Employee Data'!J70</f>
        <v/>
      </c>
      <c r="G69" s="66">
        <f>'Employee Data'!K70</f>
        <v/>
      </c>
      <c r="H69" s="66">
        <f>'Employee Data'!N70</f>
        <v/>
      </c>
      <c r="I69" s="68">
        <f>IF(A69="","",IF(F69="Ready Now","Immediate Succession",IF(AND(D69&gt;=4,E69&gt;=3),"High Priority Development","Standard Pipeline")))</f>
        <v/>
      </c>
    </row>
    <row r="70">
      <c r="A70" s="61">
        <f>'Employee Data'!A71</f>
        <v/>
      </c>
      <c r="B70" s="61">
        <f>'Employee Data'!G71</f>
        <v/>
      </c>
      <c r="C70" s="61">
        <f>'Employee Data'!F71</f>
        <v/>
      </c>
      <c r="D70" s="61">
        <f>'Employee Data'!B71</f>
        <v/>
      </c>
      <c r="E70" s="61">
        <f>'Employee Data'!C71</f>
        <v/>
      </c>
      <c r="F70" s="61">
        <f>'Employee Data'!J71</f>
        <v/>
      </c>
      <c r="G70" s="61">
        <f>'Employee Data'!K71</f>
        <v/>
      </c>
      <c r="H70" s="61">
        <f>'Employee Data'!N71</f>
        <v/>
      </c>
      <c r="I70" s="63">
        <f>IF(A70="","",IF(F70="Ready Now","Immediate Succession",IF(AND(D70&gt;=4,E70&gt;=3),"High Priority Development","Standard Pipeline")))</f>
        <v/>
      </c>
    </row>
    <row r="71">
      <c r="A71" s="66">
        <f>'Employee Data'!A72</f>
        <v/>
      </c>
      <c r="B71" s="66">
        <f>'Employee Data'!G72</f>
        <v/>
      </c>
      <c r="C71" s="66">
        <f>'Employee Data'!F72</f>
        <v/>
      </c>
      <c r="D71" s="66">
        <f>'Employee Data'!B72</f>
        <v/>
      </c>
      <c r="E71" s="66">
        <f>'Employee Data'!C72</f>
        <v/>
      </c>
      <c r="F71" s="66">
        <f>'Employee Data'!J72</f>
        <v/>
      </c>
      <c r="G71" s="66">
        <f>'Employee Data'!K72</f>
        <v/>
      </c>
      <c r="H71" s="66">
        <f>'Employee Data'!N72</f>
        <v/>
      </c>
      <c r="I71" s="68">
        <f>IF(A71="","",IF(F71="Ready Now","Immediate Succession",IF(AND(D71&gt;=4,E71&gt;=3),"High Priority Development","Standard Pipeline")))</f>
        <v/>
      </c>
    </row>
    <row r="72">
      <c r="A72" s="61">
        <f>'Employee Data'!A73</f>
        <v/>
      </c>
      <c r="B72" s="61">
        <f>'Employee Data'!G73</f>
        <v/>
      </c>
      <c r="C72" s="61">
        <f>'Employee Data'!F73</f>
        <v/>
      </c>
      <c r="D72" s="61">
        <f>'Employee Data'!B73</f>
        <v/>
      </c>
      <c r="E72" s="61">
        <f>'Employee Data'!C73</f>
        <v/>
      </c>
      <c r="F72" s="61">
        <f>'Employee Data'!J73</f>
        <v/>
      </c>
      <c r="G72" s="61">
        <f>'Employee Data'!K73</f>
        <v/>
      </c>
      <c r="H72" s="61">
        <f>'Employee Data'!N73</f>
        <v/>
      </c>
      <c r="I72" s="63">
        <f>IF(A72="","",IF(F72="Ready Now","Immediate Succession",IF(AND(D72&gt;=4,E72&gt;=3),"High Priority Development","Standard Pipeline")))</f>
        <v/>
      </c>
    </row>
    <row r="73">
      <c r="A73" s="66">
        <f>'Employee Data'!A74</f>
        <v/>
      </c>
      <c r="B73" s="66">
        <f>'Employee Data'!G74</f>
        <v/>
      </c>
      <c r="C73" s="66">
        <f>'Employee Data'!F74</f>
        <v/>
      </c>
      <c r="D73" s="66">
        <f>'Employee Data'!B74</f>
        <v/>
      </c>
      <c r="E73" s="66">
        <f>'Employee Data'!C74</f>
        <v/>
      </c>
      <c r="F73" s="66">
        <f>'Employee Data'!J74</f>
        <v/>
      </c>
      <c r="G73" s="66">
        <f>'Employee Data'!K74</f>
        <v/>
      </c>
      <c r="H73" s="66">
        <f>'Employee Data'!N74</f>
        <v/>
      </c>
      <c r="I73" s="68">
        <f>IF(A73="","",IF(F73="Ready Now","Immediate Succession",IF(AND(D73&gt;=4,E73&gt;=3),"High Priority Development","Standard Pipeline")))</f>
        <v/>
      </c>
    </row>
    <row r="74">
      <c r="A74" s="61">
        <f>'Employee Data'!A75</f>
        <v/>
      </c>
      <c r="B74" s="61">
        <f>'Employee Data'!G75</f>
        <v/>
      </c>
      <c r="C74" s="61">
        <f>'Employee Data'!F75</f>
        <v/>
      </c>
      <c r="D74" s="61">
        <f>'Employee Data'!B75</f>
        <v/>
      </c>
      <c r="E74" s="61">
        <f>'Employee Data'!C75</f>
        <v/>
      </c>
      <c r="F74" s="61">
        <f>'Employee Data'!J75</f>
        <v/>
      </c>
      <c r="G74" s="61">
        <f>'Employee Data'!K75</f>
        <v/>
      </c>
      <c r="H74" s="61">
        <f>'Employee Data'!N75</f>
        <v/>
      </c>
      <c r="I74" s="63">
        <f>IF(A74="","",IF(F74="Ready Now","Immediate Succession",IF(AND(D74&gt;=4,E74&gt;=3),"High Priority Development","Standard Pipeline")))</f>
        <v/>
      </c>
    </row>
    <row r="75">
      <c r="A75" s="66">
        <f>'Employee Data'!A76</f>
        <v/>
      </c>
      <c r="B75" s="66">
        <f>'Employee Data'!G76</f>
        <v/>
      </c>
      <c r="C75" s="66">
        <f>'Employee Data'!F76</f>
        <v/>
      </c>
      <c r="D75" s="66">
        <f>'Employee Data'!B76</f>
        <v/>
      </c>
      <c r="E75" s="66">
        <f>'Employee Data'!C76</f>
        <v/>
      </c>
      <c r="F75" s="66">
        <f>'Employee Data'!J76</f>
        <v/>
      </c>
      <c r="G75" s="66">
        <f>'Employee Data'!K76</f>
        <v/>
      </c>
      <c r="H75" s="66">
        <f>'Employee Data'!N76</f>
        <v/>
      </c>
      <c r="I75" s="68">
        <f>IF(A75="","",IF(F75="Ready Now","Immediate Succession",IF(AND(D75&gt;=4,E75&gt;=3),"High Priority Development","Standard Pipeline")))</f>
        <v/>
      </c>
    </row>
    <row r="76">
      <c r="A76" s="61">
        <f>'Employee Data'!A77</f>
        <v/>
      </c>
      <c r="B76" s="61">
        <f>'Employee Data'!G77</f>
        <v/>
      </c>
      <c r="C76" s="61">
        <f>'Employee Data'!F77</f>
        <v/>
      </c>
      <c r="D76" s="61">
        <f>'Employee Data'!B77</f>
        <v/>
      </c>
      <c r="E76" s="61">
        <f>'Employee Data'!C77</f>
        <v/>
      </c>
      <c r="F76" s="61">
        <f>'Employee Data'!J77</f>
        <v/>
      </c>
      <c r="G76" s="61">
        <f>'Employee Data'!K77</f>
        <v/>
      </c>
      <c r="H76" s="61">
        <f>'Employee Data'!N77</f>
        <v/>
      </c>
      <c r="I76" s="63">
        <f>IF(A76="","",IF(F76="Ready Now","Immediate Succession",IF(AND(D76&gt;=4,E76&gt;=3),"High Priority Development","Standard Pipeline")))</f>
        <v/>
      </c>
    </row>
    <row r="77">
      <c r="A77" s="66">
        <f>'Employee Data'!A78</f>
        <v/>
      </c>
      <c r="B77" s="66">
        <f>'Employee Data'!G78</f>
        <v/>
      </c>
      <c r="C77" s="66">
        <f>'Employee Data'!F78</f>
        <v/>
      </c>
      <c r="D77" s="66">
        <f>'Employee Data'!B78</f>
        <v/>
      </c>
      <c r="E77" s="66">
        <f>'Employee Data'!C78</f>
        <v/>
      </c>
      <c r="F77" s="66">
        <f>'Employee Data'!J78</f>
        <v/>
      </c>
      <c r="G77" s="66">
        <f>'Employee Data'!K78</f>
        <v/>
      </c>
      <c r="H77" s="66">
        <f>'Employee Data'!N78</f>
        <v/>
      </c>
      <c r="I77" s="68">
        <f>IF(A77="","",IF(F77="Ready Now","Immediate Succession",IF(AND(D77&gt;=4,E77&gt;=3),"High Priority Development","Standard Pipeline")))</f>
        <v/>
      </c>
    </row>
    <row r="78">
      <c r="A78" s="61">
        <f>'Employee Data'!A79</f>
        <v/>
      </c>
      <c r="B78" s="61">
        <f>'Employee Data'!G79</f>
        <v/>
      </c>
      <c r="C78" s="61">
        <f>'Employee Data'!F79</f>
        <v/>
      </c>
      <c r="D78" s="61">
        <f>'Employee Data'!B79</f>
        <v/>
      </c>
      <c r="E78" s="61">
        <f>'Employee Data'!C79</f>
        <v/>
      </c>
      <c r="F78" s="61">
        <f>'Employee Data'!J79</f>
        <v/>
      </c>
      <c r="G78" s="61">
        <f>'Employee Data'!K79</f>
        <v/>
      </c>
      <c r="H78" s="61">
        <f>'Employee Data'!N79</f>
        <v/>
      </c>
      <c r="I78" s="63">
        <f>IF(A78="","",IF(F78="Ready Now","Immediate Succession",IF(AND(D78&gt;=4,E78&gt;=3),"High Priority Development","Standard Pipeline")))</f>
        <v/>
      </c>
    </row>
    <row r="79">
      <c r="A79" s="66">
        <f>'Employee Data'!A80</f>
        <v/>
      </c>
      <c r="B79" s="66">
        <f>'Employee Data'!G80</f>
        <v/>
      </c>
      <c r="C79" s="66">
        <f>'Employee Data'!F80</f>
        <v/>
      </c>
      <c r="D79" s="66">
        <f>'Employee Data'!B80</f>
        <v/>
      </c>
      <c r="E79" s="66">
        <f>'Employee Data'!C80</f>
        <v/>
      </c>
      <c r="F79" s="66">
        <f>'Employee Data'!J80</f>
        <v/>
      </c>
      <c r="G79" s="66">
        <f>'Employee Data'!K80</f>
        <v/>
      </c>
      <c r="H79" s="66">
        <f>'Employee Data'!N80</f>
        <v/>
      </c>
      <c r="I79" s="68">
        <f>IF(A79="","",IF(F79="Ready Now","Immediate Succession",IF(AND(D79&gt;=4,E79&gt;=3),"High Priority Development","Standard Pipeline")))</f>
        <v/>
      </c>
    </row>
    <row r="80">
      <c r="A80" s="61">
        <f>'Employee Data'!A81</f>
        <v/>
      </c>
      <c r="B80" s="61">
        <f>'Employee Data'!G81</f>
        <v/>
      </c>
      <c r="C80" s="61">
        <f>'Employee Data'!F81</f>
        <v/>
      </c>
      <c r="D80" s="61">
        <f>'Employee Data'!B81</f>
        <v/>
      </c>
      <c r="E80" s="61">
        <f>'Employee Data'!C81</f>
        <v/>
      </c>
      <c r="F80" s="61">
        <f>'Employee Data'!J81</f>
        <v/>
      </c>
      <c r="G80" s="61">
        <f>'Employee Data'!K81</f>
        <v/>
      </c>
      <c r="H80" s="61">
        <f>'Employee Data'!N81</f>
        <v/>
      </c>
      <c r="I80" s="63">
        <f>IF(A80="","",IF(F80="Ready Now","Immediate Succession",IF(AND(D80&gt;=4,E80&gt;=3),"High Priority Development","Standard Pipeline")))</f>
        <v/>
      </c>
    </row>
    <row r="81">
      <c r="A81" s="66">
        <f>'Employee Data'!A82</f>
        <v/>
      </c>
      <c r="B81" s="66">
        <f>'Employee Data'!G82</f>
        <v/>
      </c>
      <c r="C81" s="66">
        <f>'Employee Data'!F82</f>
        <v/>
      </c>
      <c r="D81" s="66">
        <f>'Employee Data'!B82</f>
        <v/>
      </c>
      <c r="E81" s="66">
        <f>'Employee Data'!C82</f>
        <v/>
      </c>
      <c r="F81" s="66">
        <f>'Employee Data'!J82</f>
        <v/>
      </c>
      <c r="G81" s="66">
        <f>'Employee Data'!K82</f>
        <v/>
      </c>
      <c r="H81" s="66">
        <f>'Employee Data'!N82</f>
        <v/>
      </c>
      <c r="I81" s="68">
        <f>IF(A81="","",IF(F81="Ready Now","Immediate Succession",IF(AND(D81&gt;=4,E81&gt;=3),"High Priority Development","Standard Pipeline")))</f>
        <v/>
      </c>
    </row>
    <row r="82">
      <c r="A82" s="61">
        <f>'Employee Data'!A83</f>
        <v/>
      </c>
      <c r="B82" s="61">
        <f>'Employee Data'!G83</f>
        <v/>
      </c>
      <c r="C82" s="61">
        <f>'Employee Data'!F83</f>
        <v/>
      </c>
      <c r="D82" s="61">
        <f>'Employee Data'!B83</f>
        <v/>
      </c>
      <c r="E82" s="61">
        <f>'Employee Data'!C83</f>
        <v/>
      </c>
      <c r="F82" s="61">
        <f>'Employee Data'!J83</f>
        <v/>
      </c>
      <c r="G82" s="61">
        <f>'Employee Data'!K83</f>
        <v/>
      </c>
      <c r="H82" s="61">
        <f>'Employee Data'!N83</f>
        <v/>
      </c>
      <c r="I82" s="63">
        <f>IF(A82="","",IF(F82="Ready Now","Immediate Succession",IF(AND(D82&gt;=4,E82&gt;=3),"High Priority Development","Standard Pipeline")))</f>
        <v/>
      </c>
    </row>
    <row r="83">
      <c r="A83" s="66">
        <f>'Employee Data'!A84</f>
        <v/>
      </c>
      <c r="B83" s="66">
        <f>'Employee Data'!G84</f>
        <v/>
      </c>
      <c r="C83" s="66">
        <f>'Employee Data'!F84</f>
        <v/>
      </c>
      <c r="D83" s="66">
        <f>'Employee Data'!B84</f>
        <v/>
      </c>
      <c r="E83" s="66">
        <f>'Employee Data'!C84</f>
        <v/>
      </c>
      <c r="F83" s="66">
        <f>'Employee Data'!J84</f>
        <v/>
      </c>
      <c r="G83" s="66">
        <f>'Employee Data'!K84</f>
        <v/>
      </c>
      <c r="H83" s="66">
        <f>'Employee Data'!N84</f>
        <v/>
      </c>
      <c r="I83" s="68">
        <f>IF(A83="","",IF(F83="Ready Now","Immediate Succession",IF(AND(D83&gt;=4,E83&gt;=3),"High Priority Development","Standard Pipeline")))</f>
        <v/>
      </c>
    </row>
    <row r="84">
      <c r="A84" s="61">
        <f>'Employee Data'!A85</f>
        <v/>
      </c>
      <c r="B84" s="61">
        <f>'Employee Data'!G85</f>
        <v/>
      </c>
      <c r="C84" s="61">
        <f>'Employee Data'!F85</f>
        <v/>
      </c>
      <c r="D84" s="61">
        <f>'Employee Data'!B85</f>
        <v/>
      </c>
      <c r="E84" s="61">
        <f>'Employee Data'!C85</f>
        <v/>
      </c>
      <c r="F84" s="61">
        <f>'Employee Data'!J85</f>
        <v/>
      </c>
      <c r="G84" s="61">
        <f>'Employee Data'!K85</f>
        <v/>
      </c>
      <c r="H84" s="61">
        <f>'Employee Data'!N85</f>
        <v/>
      </c>
      <c r="I84" s="63">
        <f>IF(A84="","",IF(F84="Ready Now","Immediate Succession",IF(AND(D84&gt;=4,E84&gt;=3),"High Priority Development","Standard Pipeline")))</f>
        <v/>
      </c>
    </row>
    <row r="85">
      <c r="A85" s="66">
        <f>'Employee Data'!A86</f>
        <v/>
      </c>
      <c r="B85" s="66">
        <f>'Employee Data'!G86</f>
        <v/>
      </c>
      <c r="C85" s="66">
        <f>'Employee Data'!F86</f>
        <v/>
      </c>
      <c r="D85" s="66">
        <f>'Employee Data'!B86</f>
        <v/>
      </c>
      <c r="E85" s="66">
        <f>'Employee Data'!C86</f>
        <v/>
      </c>
      <c r="F85" s="66">
        <f>'Employee Data'!J86</f>
        <v/>
      </c>
      <c r="G85" s="66">
        <f>'Employee Data'!K86</f>
        <v/>
      </c>
      <c r="H85" s="66">
        <f>'Employee Data'!N86</f>
        <v/>
      </c>
      <c r="I85" s="68">
        <f>IF(A85="","",IF(F85="Ready Now","Immediate Succession",IF(AND(D85&gt;=4,E85&gt;=3),"High Priority Development","Standard Pipeline")))</f>
        <v/>
      </c>
    </row>
    <row r="86">
      <c r="A86" s="61">
        <f>'Employee Data'!A87</f>
        <v/>
      </c>
      <c r="B86" s="61">
        <f>'Employee Data'!G87</f>
        <v/>
      </c>
      <c r="C86" s="61">
        <f>'Employee Data'!F87</f>
        <v/>
      </c>
      <c r="D86" s="61">
        <f>'Employee Data'!B87</f>
        <v/>
      </c>
      <c r="E86" s="61">
        <f>'Employee Data'!C87</f>
        <v/>
      </c>
      <c r="F86" s="61">
        <f>'Employee Data'!J87</f>
        <v/>
      </c>
      <c r="G86" s="61">
        <f>'Employee Data'!K87</f>
        <v/>
      </c>
      <c r="H86" s="61">
        <f>'Employee Data'!N87</f>
        <v/>
      </c>
      <c r="I86" s="63">
        <f>IF(A86="","",IF(F86="Ready Now","Immediate Succession",IF(AND(D86&gt;=4,E86&gt;=3),"High Priority Development","Standard Pipeline")))</f>
        <v/>
      </c>
    </row>
    <row r="87">
      <c r="A87" s="66">
        <f>'Employee Data'!A88</f>
        <v/>
      </c>
      <c r="B87" s="66">
        <f>'Employee Data'!G88</f>
        <v/>
      </c>
      <c r="C87" s="66">
        <f>'Employee Data'!F88</f>
        <v/>
      </c>
      <c r="D87" s="66">
        <f>'Employee Data'!B88</f>
        <v/>
      </c>
      <c r="E87" s="66">
        <f>'Employee Data'!C88</f>
        <v/>
      </c>
      <c r="F87" s="66">
        <f>'Employee Data'!J88</f>
        <v/>
      </c>
      <c r="G87" s="66">
        <f>'Employee Data'!K88</f>
        <v/>
      </c>
      <c r="H87" s="66">
        <f>'Employee Data'!N88</f>
        <v/>
      </c>
      <c r="I87" s="68">
        <f>IF(A87="","",IF(F87="Ready Now","Immediate Succession",IF(AND(D87&gt;=4,E87&gt;=3),"High Priority Development","Standard Pipeline")))</f>
        <v/>
      </c>
    </row>
    <row r="88">
      <c r="A88" s="61">
        <f>'Employee Data'!A89</f>
        <v/>
      </c>
      <c r="B88" s="61">
        <f>'Employee Data'!G89</f>
        <v/>
      </c>
      <c r="C88" s="61">
        <f>'Employee Data'!F89</f>
        <v/>
      </c>
      <c r="D88" s="61">
        <f>'Employee Data'!B89</f>
        <v/>
      </c>
      <c r="E88" s="61">
        <f>'Employee Data'!C89</f>
        <v/>
      </c>
      <c r="F88" s="61">
        <f>'Employee Data'!J89</f>
        <v/>
      </c>
      <c r="G88" s="61">
        <f>'Employee Data'!K89</f>
        <v/>
      </c>
      <c r="H88" s="61">
        <f>'Employee Data'!N89</f>
        <v/>
      </c>
      <c r="I88" s="63">
        <f>IF(A88="","",IF(F88="Ready Now","Immediate Succession",IF(AND(D88&gt;=4,E88&gt;=3),"High Priority Development","Standard Pipeline")))</f>
        <v/>
      </c>
    </row>
    <row r="89">
      <c r="A89" s="66">
        <f>'Employee Data'!A90</f>
        <v/>
      </c>
      <c r="B89" s="66">
        <f>'Employee Data'!G90</f>
        <v/>
      </c>
      <c r="C89" s="66">
        <f>'Employee Data'!F90</f>
        <v/>
      </c>
      <c r="D89" s="66">
        <f>'Employee Data'!B90</f>
        <v/>
      </c>
      <c r="E89" s="66">
        <f>'Employee Data'!C90</f>
        <v/>
      </c>
      <c r="F89" s="66">
        <f>'Employee Data'!J90</f>
        <v/>
      </c>
      <c r="G89" s="66">
        <f>'Employee Data'!K90</f>
        <v/>
      </c>
      <c r="H89" s="66">
        <f>'Employee Data'!N90</f>
        <v/>
      </c>
      <c r="I89" s="68">
        <f>IF(A89="","",IF(F89="Ready Now","Immediate Succession",IF(AND(D89&gt;=4,E89&gt;=3),"High Priority Development","Standard Pipeline")))</f>
        <v/>
      </c>
    </row>
    <row r="90">
      <c r="A90" s="61">
        <f>'Employee Data'!A91</f>
        <v/>
      </c>
      <c r="B90" s="61">
        <f>'Employee Data'!G91</f>
        <v/>
      </c>
      <c r="C90" s="61">
        <f>'Employee Data'!F91</f>
        <v/>
      </c>
      <c r="D90" s="61">
        <f>'Employee Data'!B91</f>
        <v/>
      </c>
      <c r="E90" s="61">
        <f>'Employee Data'!C91</f>
        <v/>
      </c>
      <c r="F90" s="61">
        <f>'Employee Data'!J91</f>
        <v/>
      </c>
      <c r="G90" s="61">
        <f>'Employee Data'!K91</f>
        <v/>
      </c>
      <c r="H90" s="61">
        <f>'Employee Data'!N91</f>
        <v/>
      </c>
      <c r="I90" s="63">
        <f>IF(A90="","",IF(F90="Ready Now","Immediate Succession",IF(AND(D90&gt;=4,E90&gt;=3),"High Priority Development","Standard Pipeline")))</f>
        <v/>
      </c>
    </row>
    <row r="91">
      <c r="A91" s="66">
        <f>'Employee Data'!A92</f>
        <v/>
      </c>
      <c r="B91" s="66">
        <f>'Employee Data'!G92</f>
        <v/>
      </c>
      <c r="C91" s="66">
        <f>'Employee Data'!F92</f>
        <v/>
      </c>
      <c r="D91" s="66">
        <f>'Employee Data'!B92</f>
        <v/>
      </c>
      <c r="E91" s="66">
        <f>'Employee Data'!C92</f>
        <v/>
      </c>
      <c r="F91" s="66">
        <f>'Employee Data'!J92</f>
        <v/>
      </c>
      <c r="G91" s="66">
        <f>'Employee Data'!K92</f>
        <v/>
      </c>
      <c r="H91" s="66">
        <f>'Employee Data'!N92</f>
        <v/>
      </c>
      <c r="I91" s="68">
        <f>IF(A91="","",IF(F91="Ready Now","Immediate Succession",IF(AND(D91&gt;=4,E91&gt;=3),"High Priority Development","Standard Pipeline")))</f>
        <v/>
      </c>
    </row>
    <row r="92">
      <c r="A92" s="61">
        <f>'Employee Data'!A93</f>
        <v/>
      </c>
      <c r="B92" s="61">
        <f>'Employee Data'!G93</f>
        <v/>
      </c>
      <c r="C92" s="61">
        <f>'Employee Data'!F93</f>
        <v/>
      </c>
      <c r="D92" s="61">
        <f>'Employee Data'!B93</f>
        <v/>
      </c>
      <c r="E92" s="61">
        <f>'Employee Data'!C93</f>
        <v/>
      </c>
      <c r="F92" s="61">
        <f>'Employee Data'!J93</f>
        <v/>
      </c>
      <c r="G92" s="61">
        <f>'Employee Data'!K93</f>
        <v/>
      </c>
      <c r="H92" s="61">
        <f>'Employee Data'!N93</f>
        <v/>
      </c>
      <c r="I92" s="63">
        <f>IF(A92="","",IF(F92="Ready Now","Immediate Succession",IF(AND(D92&gt;=4,E92&gt;=3),"High Priority Development","Standard Pipeline")))</f>
        <v/>
      </c>
    </row>
    <row r="93">
      <c r="A93" s="66">
        <f>'Employee Data'!A94</f>
        <v/>
      </c>
      <c r="B93" s="66">
        <f>'Employee Data'!G94</f>
        <v/>
      </c>
      <c r="C93" s="66">
        <f>'Employee Data'!F94</f>
        <v/>
      </c>
      <c r="D93" s="66">
        <f>'Employee Data'!B94</f>
        <v/>
      </c>
      <c r="E93" s="66">
        <f>'Employee Data'!C94</f>
        <v/>
      </c>
      <c r="F93" s="66">
        <f>'Employee Data'!J94</f>
        <v/>
      </c>
      <c r="G93" s="66">
        <f>'Employee Data'!K94</f>
        <v/>
      </c>
      <c r="H93" s="66">
        <f>'Employee Data'!N94</f>
        <v/>
      </c>
      <c r="I93" s="68">
        <f>IF(A93="","",IF(F93="Ready Now","Immediate Succession",IF(AND(D93&gt;=4,E93&gt;=3),"High Priority Development","Standard Pipeline")))</f>
        <v/>
      </c>
    </row>
    <row r="94">
      <c r="A94" s="61">
        <f>'Employee Data'!A95</f>
        <v/>
      </c>
      <c r="B94" s="61">
        <f>'Employee Data'!G95</f>
        <v/>
      </c>
      <c r="C94" s="61">
        <f>'Employee Data'!F95</f>
        <v/>
      </c>
      <c r="D94" s="61">
        <f>'Employee Data'!B95</f>
        <v/>
      </c>
      <c r="E94" s="61">
        <f>'Employee Data'!C95</f>
        <v/>
      </c>
      <c r="F94" s="61">
        <f>'Employee Data'!J95</f>
        <v/>
      </c>
      <c r="G94" s="61">
        <f>'Employee Data'!K95</f>
        <v/>
      </c>
      <c r="H94" s="61">
        <f>'Employee Data'!N95</f>
        <v/>
      </c>
      <c r="I94" s="63">
        <f>IF(A94="","",IF(F94="Ready Now","Immediate Succession",IF(AND(D94&gt;=4,E94&gt;=3),"High Priority Development","Standard Pipeline")))</f>
        <v/>
      </c>
    </row>
    <row r="95">
      <c r="A95" s="66">
        <f>'Employee Data'!A96</f>
        <v/>
      </c>
      <c r="B95" s="66">
        <f>'Employee Data'!G96</f>
        <v/>
      </c>
      <c r="C95" s="66">
        <f>'Employee Data'!F96</f>
        <v/>
      </c>
      <c r="D95" s="66">
        <f>'Employee Data'!B96</f>
        <v/>
      </c>
      <c r="E95" s="66">
        <f>'Employee Data'!C96</f>
        <v/>
      </c>
      <c r="F95" s="66">
        <f>'Employee Data'!J96</f>
        <v/>
      </c>
      <c r="G95" s="66">
        <f>'Employee Data'!K96</f>
        <v/>
      </c>
      <c r="H95" s="66">
        <f>'Employee Data'!N96</f>
        <v/>
      </c>
      <c r="I95" s="68">
        <f>IF(A95="","",IF(F95="Ready Now","Immediate Succession",IF(AND(D95&gt;=4,E95&gt;=3),"High Priority Development","Standard Pipeline")))</f>
        <v/>
      </c>
    </row>
    <row r="96">
      <c r="A96" s="61">
        <f>'Employee Data'!A97</f>
        <v/>
      </c>
      <c r="B96" s="61">
        <f>'Employee Data'!G97</f>
        <v/>
      </c>
      <c r="C96" s="61">
        <f>'Employee Data'!F97</f>
        <v/>
      </c>
      <c r="D96" s="61">
        <f>'Employee Data'!B97</f>
        <v/>
      </c>
      <c r="E96" s="61">
        <f>'Employee Data'!C97</f>
        <v/>
      </c>
      <c r="F96" s="61">
        <f>'Employee Data'!J97</f>
        <v/>
      </c>
      <c r="G96" s="61">
        <f>'Employee Data'!K97</f>
        <v/>
      </c>
      <c r="H96" s="61">
        <f>'Employee Data'!N97</f>
        <v/>
      </c>
      <c r="I96" s="63">
        <f>IF(A96="","",IF(F96="Ready Now","Immediate Succession",IF(AND(D96&gt;=4,E96&gt;=3),"High Priority Development","Standard Pipeline")))</f>
        <v/>
      </c>
    </row>
    <row r="97">
      <c r="A97" s="66">
        <f>'Employee Data'!A98</f>
        <v/>
      </c>
      <c r="B97" s="66">
        <f>'Employee Data'!G98</f>
        <v/>
      </c>
      <c r="C97" s="66">
        <f>'Employee Data'!F98</f>
        <v/>
      </c>
      <c r="D97" s="66">
        <f>'Employee Data'!B98</f>
        <v/>
      </c>
      <c r="E97" s="66">
        <f>'Employee Data'!C98</f>
        <v/>
      </c>
      <c r="F97" s="66">
        <f>'Employee Data'!J98</f>
        <v/>
      </c>
      <c r="G97" s="66">
        <f>'Employee Data'!K98</f>
        <v/>
      </c>
      <c r="H97" s="66">
        <f>'Employee Data'!N98</f>
        <v/>
      </c>
      <c r="I97" s="68">
        <f>IF(A97="","",IF(F97="Ready Now","Immediate Succession",IF(AND(D97&gt;=4,E97&gt;=3),"High Priority Development","Standard Pipeline")))</f>
        <v/>
      </c>
    </row>
    <row r="98">
      <c r="A98" s="61">
        <f>'Employee Data'!A99</f>
        <v/>
      </c>
      <c r="B98" s="61">
        <f>'Employee Data'!G99</f>
        <v/>
      </c>
      <c r="C98" s="61">
        <f>'Employee Data'!F99</f>
        <v/>
      </c>
      <c r="D98" s="61">
        <f>'Employee Data'!B99</f>
        <v/>
      </c>
      <c r="E98" s="61">
        <f>'Employee Data'!C99</f>
        <v/>
      </c>
      <c r="F98" s="61">
        <f>'Employee Data'!J99</f>
        <v/>
      </c>
      <c r="G98" s="61">
        <f>'Employee Data'!K99</f>
        <v/>
      </c>
      <c r="H98" s="61">
        <f>'Employee Data'!N99</f>
        <v/>
      </c>
      <c r="I98" s="63">
        <f>IF(A98="","",IF(F98="Ready Now","Immediate Succession",IF(AND(D98&gt;=4,E98&gt;=3),"High Priority Development","Standard Pipeline")))</f>
        <v/>
      </c>
    </row>
    <row r="99">
      <c r="A99" s="66">
        <f>'Employee Data'!A100</f>
        <v/>
      </c>
      <c r="B99" s="66">
        <f>'Employee Data'!G100</f>
        <v/>
      </c>
      <c r="C99" s="66">
        <f>'Employee Data'!F100</f>
        <v/>
      </c>
      <c r="D99" s="66">
        <f>'Employee Data'!B100</f>
        <v/>
      </c>
      <c r="E99" s="66">
        <f>'Employee Data'!C100</f>
        <v/>
      </c>
      <c r="F99" s="66">
        <f>'Employee Data'!J100</f>
        <v/>
      </c>
      <c r="G99" s="66">
        <f>'Employee Data'!K100</f>
        <v/>
      </c>
      <c r="H99" s="66">
        <f>'Employee Data'!N100</f>
        <v/>
      </c>
      <c r="I99" s="68">
        <f>IF(A99="","",IF(F99="Ready Now","Immediate Succession",IF(AND(D99&gt;=4,E99&gt;=3),"High Priority Development","Standard Pipeline")))</f>
        <v/>
      </c>
    </row>
    <row r="100">
      <c r="A100" s="61">
        <f>'Employee Data'!A101</f>
        <v/>
      </c>
      <c r="B100" s="61">
        <f>'Employee Data'!G101</f>
        <v/>
      </c>
      <c r="C100" s="61">
        <f>'Employee Data'!F101</f>
        <v/>
      </c>
      <c r="D100" s="61">
        <f>'Employee Data'!B101</f>
        <v/>
      </c>
      <c r="E100" s="61">
        <f>'Employee Data'!C101</f>
        <v/>
      </c>
      <c r="F100" s="61">
        <f>'Employee Data'!J101</f>
        <v/>
      </c>
      <c r="G100" s="61">
        <f>'Employee Data'!K101</f>
        <v/>
      </c>
      <c r="H100" s="61">
        <f>'Employee Data'!N101</f>
        <v/>
      </c>
      <c r="I100" s="63">
        <f>IF(A100="","",IF(F100="Ready Now","Immediate Succession",IF(AND(D100&gt;=4,E100&gt;=3),"High Priority Development","Standard Pipeline")))</f>
        <v/>
      </c>
    </row>
    <row r="101">
      <c r="A101" s="66">
        <f>'Employee Data'!A102</f>
        <v/>
      </c>
      <c r="B101" s="66">
        <f>'Employee Data'!G102</f>
        <v/>
      </c>
      <c r="C101" s="66">
        <f>'Employee Data'!F102</f>
        <v/>
      </c>
      <c r="D101" s="66">
        <f>'Employee Data'!B102</f>
        <v/>
      </c>
      <c r="E101" s="66">
        <f>'Employee Data'!C102</f>
        <v/>
      </c>
      <c r="F101" s="66">
        <f>'Employee Data'!J102</f>
        <v/>
      </c>
      <c r="G101" s="66">
        <f>'Employee Data'!K102</f>
        <v/>
      </c>
      <c r="H101" s="66">
        <f>'Employee Data'!N102</f>
        <v/>
      </c>
      <c r="I101" s="68">
        <f>IF(A101="","",IF(F101="Ready Now","Immediate Succession",IF(AND(D101&gt;=4,E101&gt;=3),"High Priority Development","Standard Pipeline")))</f>
        <v/>
      </c>
    </row>
    <row r="102">
      <c r="A102" s="61">
        <f>'Employee Data'!A103</f>
        <v/>
      </c>
      <c r="B102" s="61">
        <f>'Employee Data'!G103</f>
        <v/>
      </c>
      <c r="C102" s="61">
        <f>'Employee Data'!F103</f>
        <v/>
      </c>
      <c r="D102" s="61">
        <f>'Employee Data'!B103</f>
        <v/>
      </c>
      <c r="E102" s="61">
        <f>'Employee Data'!C103</f>
        <v/>
      </c>
      <c r="F102" s="61">
        <f>'Employee Data'!J103</f>
        <v/>
      </c>
      <c r="G102" s="61">
        <f>'Employee Data'!K103</f>
        <v/>
      </c>
      <c r="H102" s="61">
        <f>'Employee Data'!N103</f>
        <v/>
      </c>
      <c r="I102" s="63">
        <f>IF(A102="","",IF(F102="Ready Now","Immediate Succession",IF(AND(D102&gt;=4,E102&gt;=3),"High Priority Development","Standard Pipeline")))</f>
        <v/>
      </c>
    </row>
    <row r="103">
      <c r="A103" s="66">
        <f>'Employee Data'!A104</f>
        <v/>
      </c>
      <c r="B103" s="66">
        <f>'Employee Data'!G104</f>
        <v/>
      </c>
      <c r="C103" s="66">
        <f>'Employee Data'!F104</f>
        <v/>
      </c>
      <c r="D103" s="66">
        <f>'Employee Data'!B104</f>
        <v/>
      </c>
      <c r="E103" s="66">
        <f>'Employee Data'!C104</f>
        <v/>
      </c>
      <c r="F103" s="66">
        <f>'Employee Data'!J104</f>
        <v/>
      </c>
      <c r="G103" s="66">
        <f>'Employee Data'!K104</f>
        <v/>
      </c>
      <c r="H103" s="66">
        <f>'Employee Data'!N104</f>
        <v/>
      </c>
      <c r="I103" s="68">
        <f>IF(A103="","",IF(F103="Ready Now","Immediate Succession",IF(AND(D103&gt;=4,E103&gt;=3),"High Priority Development","Standard Pipeline")))</f>
        <v/>
      </c>
    </row>
    <row r="104">
      <c r="A104" s="61">
        <f>'Employee Data'!A105</f>
        <v/>
      </c>
      <c r="B104" s="61">
        <f>'Employee Data'!G105</f>
        <v/>
      </c>
      <c r="C104" s="61">
        <f>'Employee Data'!F105</f>
        <v/>
      </c>
      <c r="D104" s="61">
        <f>'Employee Data'!B105</f>
        <v/>
      </c>
      <c r="E104" s="61">
        <f>'Employee Data'!C105</f>
        <v/>
      </c>
      <c r="F104" s="61">
        <f>'Employee Data'!J105</f>
        <v/>
      </c>
      <c r="G104" s="61">
        <f>'Employee Data'!K105</f>
        <v/>
      </c>
      <c r="H104" s="61">
        <f>'Employee Data'!N105</f>
        <v/>
      </c>
      <c r="I104" s="63">
        <f>IF(A104="","",IF(F104="Ready Now","Immediate Succession",IF(AND(D104&gt;=4,E104&gt;=3),"High Priority Development","Standard Pipeline")))</f>
        <v/>
      </c>
    </row>
    <row r="105">
      <c r="A105" s="66">
        <f>'Employee Data'!A106</f>
        <v/>
      </c>
      <c r="B105" s="66">
        <f>'Employee Data'!G106</f>
        <v/>
      </c>
      <c r="C105" s="66">
        <f>'Employee Data'!F106</f>
        <v/>
      </c>
      <c r="D105" s="66">
        <f>'Employee Data'!B106</f>
        <v/>
      </c>
      <c r="E105" s="66">
        <f>'Employee Data'!C106</f>
        <v/>
      </c>
      <c r="F105" s="66">
        <f>'Employee Data'!J106</f>
        <v/>
      </c>
      <c r="G105" s="66">
        <f>'Employee Data'!K106</f>
        <v/>
      </c>
      <c r="H105" s="66">
        <f>'Employee Data'!N106</f>
        <v/>
      </c>
      <c r="I105" s="68">
        <f>IF(A105="","",IF(F105="Ready Now","Immediate Succession",IF(AND(D105&gt;=4,E105&gt;=3),"High Priority Development","Standard Pipeline")))</f>
        <v/>
      </c>
    </row>
    <row r="108">
      <c r="A108" s="79" t="inlineStr">
        <is>
          <t>Ready Now</t>
        </is>
      </c>
    </row>
    <row r="109">
      <c r="A109" s="80">
        <f>COUNTIF(F6:F105,"Ready Now")</f>
        <v/>
      </c>
    </row>
    <row r="110">
      <c r="A110" s="79" t="inlineStr">
        <is>
          <t>1 Year</t>
        </is>
      </c>
    </row>
    <row r="111">
      <c r="A111" s="80">
        <f>COUNTIF(F6:F105,"1 Year")</f>
        <v/>
      </c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EC4899"/>
    <outlinePr summaryBelow="1" summaryRight="1"/>
    <pageSetUpPr/>
  </sheetPr>
  <dimension ref="A1:J2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6" customWidth="1" min="4" max="4"/>
    <col width="16" customWidth="1" min="5" max="5"/>
    <col width="18" customWidth="1" min="6" max="6"/>
    <col width="14" customWidth="1" min="7" max="7"/>
  </cols>
  <sheetData>
    <row r="1">
      <c r="A1" s="17" t="inlineStr">
        <is>
          <t>VIRORAH PMS — DEI Analytics</t>
        </is>
      </c>
    </row>
    <row r="2">
      <c r="A2" s="13" t="inlineStr">
        <is>
          <t>Diversity, Equity and Inclusion metrics. Gender and ethnicity breakdowns with pay equity analysis.</t>
        </is>
      </c>
    </row>
    <row r="3">
      <c r="A3" s="3" t="n"/>
    </row>
    <row r="5" ht="22" customHeight="1">
      <c r="A5" s="55" t="inlineStr">
        <is>
          <t>GENDER BREAKDOWN</t>
        </is>
      </c>
    </row>
    <row r="6" ht="22" customHeight="1">
      <c r="A6" s="15" t="inlineStr">
        <is>
          <t>Gender</t>
        </is>
      </c>
      <c r="B6" s="15" t="inlineStr">
        <is>
          <t>Headcount</t>
        </is>
      </c>
      <c r="C6" s="15" t="inlineStr">
        <is>
          <t>% of Total</t>
        </is>
      </c>
      <c r="D6" s="15" t="inlineStr">
        <is>
          <t>Avg Perf Rating</t>
        </is>
      </c>
      <c r="E6" s="15" t="inlineStr">
        <is>
          <t>Avg Salary</t>
        </is>
      </c>
      <c r="F6" s="15" t="inlineStr">
        <is>
          <t>Avg Compa-Ratio</t>
        </is>
      </c>
    </row>
    <row r="7" ht="20" customHeight="1">
      <c r="A7" s="81" t="inlineStr">
        <is>
          <t>Male</t>
        </is>
      </c>
      <c r="B7" s="82">
        <f>COUNTIF('Employee Data'!E7:E2000,"Male")</f>
        <v/>
      </c>
      <c r="C7" s="83">
        <f>IFERROR(B7/COUNTA('Employee Data'!A7:A2000),0)</f>
        <v/>
      </c>
      <c r="D7" s="84">
        <f>IFERROR(AVERAGEIF('Employee Data'!E7:E2000,"Male",'Employee Data'!B7:B2000),0)</f>
        <v/>
      </c>
      <c r="E7" s="85">
        <f>IFERROR(AVERAGEIF('Employee Data'!E7:E2000,"Male",'Employee Data'!D7:D2000),0)</f>
        <v/>
      </c>
      <c r="F7" s="84">
        <f>IFERROR(AVERAGEIF('Employee Data'!E7:E2000,"Male",'Employee Data'!D7:D2000)/AVERAGEIF('Employee Data'!E7:E2000,"Male",'Employee Data'!L7:L2000),0)</f>
        <v/>
      </c>
    </row>
    <row r="8" ht="20" customHeight="1">
      <c r="A8" s="86" t="inlineStr">
        <is>
          <t>Female</t>
        </is>
      </c>
      <c r="B8" s="87">
        <f>COUNTIF('Employee Data'!E7:E2000,"Female")</f>
        <v/>
      </c>
      <c r="C8" s="88">
        <f>IFERROR(B8/COUNTA('Employee Data'!A7:A2000),0)</f>
        <v/>
      </c>
      <c r="D8" s="89">
        <f>IFERROR(AVERAGEIF('Employee Data'!E7:E2000,"Female",'Employee Data'!B7:B2000),0)</f>
        <v/>
      </c>
      <c r="E8" s="90">
        <f>IFERROR(AVERAGEIF('Employee Data'!E7:E2000,"Female",'Employee Data'!D7:D2000),0)</f>
        <v/>
      </c>
      <c r="F8" s="89">
        <f>IFERROR(AVERAGEIF('Employee Data'!E7:E2000,"Female",'Employee Data'!D7:D2000)/AVERAGEIF('Employee Data'!E7:E2000,"Female",'Employee Data'!L7:L2000),0)</f>
        <v/>
      </c>
    </row>
    <row r="9" ht="20" customHeight="1">
      <c r="A9" s="81" t="inlineStr">
        <is>
          <t>Non-Binary</t>
        </is>
      </c>
      <c r="B9" s="82">
        <f>COUNTIF('Employee Data'!E7:E2000,"Non-Binary")</f>
        <v/>
      </c>
      <c r="C9" s="83">
        <f>IFERROR(B9/COUNTA('Employee Data'!A7:A2000),0)</f>
        <v/>
      </c>
      <c r="D9" s="84">
        <f>IFERROR(AVERAGEIF('Employee Data'!E7:E2000,"Non-Binary",'Employee Data'!B7:B2000),0)</f>
        <v/>
      </c>
      <c r="E9" s="85">
        <f>IFERROR(AVERAGEIF('Employee Data'!E7:E2000,"Non-Binary",'Employee Data'!D7:D2000),0)</f>
        <v/>
      </c>
      <c r="F9" s="84">
        <f>IFERROR(AVERAGEIF('Employee Data'!E7:E2000,"Non-Binary",'Employee Data'!D7:D2000)/AVERAGEIF('Employee Data'!E7:E2000,"Non-Binary",'Employee Data'!L7:L2000),0)</f>
        <v/>
      </c>
    </row>
    <row r="10" ht="20" customHeight="1">
      <c r="A10" s="86" t="inlineStr">
        <is>
          <t>Unknown</t>
        </is>
      </c>
      <c r="B10" s="87">
        <f>COUNTIF('Employee Data'!E7:E2000,"Unknown")</f>
        <v/>
      </c>
      <c r="C10" s="88">
        <f>IFERROR(B10/COUNTA('Employee Data'!A7:A2000),0)</f>
        <v/>
      </c>
      <c r="D10" s="89">
        <f>IFERROR(AVERAGEIF('Employee Data'!E7:E2000,"Unknown",'Employee Data'!B7:B2000),0)</f>
        <v/>
      </c>
      <c r="E10" s="90">
        <f>IFERROR(AVERAGEIF('Employee Data'!E7:E2000,"Unknown",'Employee Data'!D7:D2000),0)</f>
        <v/>
      </c>
      <c r="F10" s="89">
        <f>IFERROR(AVERAGEIF('Employee Data'!E7:E2000,"Unknown",'Employee Data'!D7:D2000)/AVERAGEIF('Employee Data'!E7:E2000,"Unknown",'Employee Data'!L7:L2000),0)</f>
        <v/>
      </c>
    </row>
    <row r="13" ht="22" customHeight="1">
      <c r="A13" s="91" t="inlineStr">
        <is>
          <t>ETHNICITY BREAKDOWN</t>
        </is>
      </c>
    </row>
    <row r="14" ht="22" customHeight="1">
      <c r="A14" s="15" t="inlineStr">
        <is>
          <t>Gender</t>
        </is>
      </c>
      <c r="B14" s="15" t="inlineStr">
        <is>
          <t>Headcount</t>
        </is>
      </c>
      <c r="C14" s="15" t="inlineStr">
        <is>
          <t>% of Total</t>
        </is>
      </c>
      <c r="D14" s="15" t="inlineStr">
        <is>
          <t>Avg Perf Rating</t>
        </is>
      </c>
      <c r="E14" s="15" t="inlineStr">
        <is>
          <t>Avg Salary</t>
        </is>
      </c>
      <c r="F14" s="15" t="inlineStr">
        <is>
          <t>Avg Compa-Ratio</t>
        </is>
      </c>
    </row>
    <row r="15" ht="20" customHeight="1">
      <c r="A15" s="81" t="inlineStr">
        <is>
          <t>Asian</t>
        </is>
      </c>
      <c r="B15" s="82">
        <f>COUNTIF('Employee Data'!M7:M2000,"Asian")</f>
        <v/>
      </c>
      <c r="C15" s="83">
        <f>IFERROR(B15/COUNTA('Employee Data'!A7:A2000),0)</f>
        <v/>
      </c>
      <c r="D15" s="84">
        <f>IFERROR(AVERAGEIF('Employee Data'!M7:M2000,"Asian",'Employee Data'!B7:B2000),0)</f>
        <v/>
      </c>
      <c r="E15" s="85">
        <f>IFERROR(AVERAGEIF('Employee Data'!M7:M2000,"Asian",'Employee Data'!D7:D2000),0)</f>
        <v/>
      </c>
      <c r="F15" s="82" t="inlineStr"/>
    </row>
    <row r="16" ht="20" customHeight="1">
      <c r="A16" s="86" t="inlineStr">
        <is>
          <t>White</t>
        </is>
      </c>
      <c r="B16" s="87">
        <f>COUNTIF('Employee Data'!M7:M2000,"White")</f>
        <v/>
      </c>
      <c r="C16" s="88">
        <f>IFERROR(B16/COUNTA('Employee Data'!A7:A2000),0)</f>
        <v/>
      </c>
      <c r="D16" s="89">
        <f>IFERROR(AVERAGEIF('Employee Data'!M7:M2000,"White",'Employee Data'!B7:B2000),0)</f>
        <v/>
      </c>
      <c r="E16" s="90">
        <f>IFERROR(AVERAGEIF('Employee Data'!M7:M2000,"White",'Employee Data'!D7:D2000),0)</f>
        <v/>
      </c>
      <c r="F16" s="87" t="inlineStr"/>
    </row>
    <row r="17" ht="20" customHeight="1">
      <c r="A17" s="81" t="inlineStr">
        <is>
          <t>Black</t>
        </is>
      </c>
      <c r="B17" s="82">
        <f>COUNTIF('Employee Data'!M7:M2000,"Black")</f>
        <v/>
      </c>
      <c r="C17" s="83">
        <f>IFERROR(B17/COUNTA('Employee Data'!A7:A2000),0)</f>
        <v/>
      </c>
      <c r="D17" s="84">
        <f>IFERROR(AVERAGEIF('Employee Data'!M7:M2000,"Black",'Employee Data'!B7:B2000),0)</f>
        <v/>
      </c>
      <c r="E17" s="85">
        <f>IFERROR(AVERAGEIF('Employee Data'!M7:M2000,"Black",'Employee Data'!D7:D2000),0)</f>
        <v/>
      </c>
      <c r="F17" s="82" t="inlineStr"/>
    </row>
    <row r="18" ht="20" customHeight="1">
      <c r="A18" s="86" t="inlineStr">
        <is>
          <t>Hispanic</t>
        </is>
      </c>
      <c r="B18" s="87">
        <f>COUNTIF('Employee Data'!M7:M2000,"Hispanic")</f>
        <v/>
      </c>
      <c r="C18" s="88">
        <f>IFERROR(B18/COUNTA('Employee Data'!A7:A2000),0)</f>
        <v/>
      </c>
      <c r="D18" s="89">
        <f>IFERROR(AVERAGEIF('Employee Data'!M7:M2000,"Hispanic",'Employee Data'!B7:B2000),0)</f>
        <v/>
      </c>
      <c r="E18" s="90">
        <f>IFERROR(AVERAGEIF('Employee Data'!M7:M2000,"Hispanic",'Employee Data'!D7:D2000),0)</f>
        <v/>
      </c>
      <c r="F18" s="87" t="inlineStr"/>
    </row>
    <row r="19" ht="20" customHeight="1">
      <c r="A19" s="81" t="inlineStr">
        <is>
          <t>Other</t>
        </is>
      </c>
      <c r="B19" s="82">
        <f>COUNTIF('Employee Data'!M7:M2000,"Other")</f>
        <v/>
      </c>
      <c r="C19" s="83">
        <f>IFERROR(B19/COUNTA('Employee Data'!A7:A2000),0)</f>
        <v/>
      </c>
      <c r="D19" s="84">
        <f>IFERROR(AVERAGEIF('Employee Data'!M7:M2000,"Other",'Employee Data'!B7:B2000),0)</f>
        <v/>
      </c>
      <c r="E19" s="85">
        <f>IFERROR(AVERAGEIF('Employee Data'!M7:M2000,"Other",'Employee Data'!D7:D2000),0)</f>
        <v/>
      </c>
      <c r="F19" s="82" t="inlineStr"/>
    </row>
    <row r="20" ht="20" customHeight="1">
      <c r="A20" s="86" t="inlineStr">
        <is>
          <t>Unknown</t>
        </is>
      </c>
      <c r="B20" s="87">
        <f>COUNTIF('Employee Data'!M7:M2000,"Unknown")</f>
        <v/>
      </c>
      <c r="C20" s="88">
        <f>IFERROR(B20/COUNTA('Employee Data'!A7:A2000),0)</f>
        <v/>
      </c>
      <c r="D20" s="89">
        <f>IFERROR(AVERAGEIF('Employee Data'!M7:M2000,"Unknown",'Employee Data'!B7:B2000),0)</f>
        <v/>
      </c>
      <c r="E20" s="90">
        <f>IFERROR(AVERAGEIF('Employee Data'!M7:M2000,"Unknown",'Employee Data'!D7:D2000),0)</f>
        <v/>
      </c>
      <c r="F20" s="87" t="inlineStr"/>
    </row>
  </sheetData>
  <mergeCells count="5">
    <mergeCell ref="A5:D5"/>
    <mergeCell ref="A1:J1"/>
    <mergeCell ref="A3:J3"/>
    <mergeCell ref="A2:J2"/>
    <mergeCell ref="A13:D1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3B82F6"/>
    <outlinePr summaryBelow="1" summaryRight="1"/>
    <pageSetUpPr/>
  </sheetPr>
  <dimension ref="A1:I1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6" customWidth="1" min="4" max="4"/>
    <col width="16" customWidth="1" min="5" max="5"/>
    <col width="18" customWidth="1" min="6" max="6"/>
    <col width="16" customWidth="1" min="7" max="7"/>
    <col width="14" customWidth="1" min="8" max="8"/>
    <col width="16" customWidth="1" min="9" max="9"/>
  </cols>
  <sheetData>
    <row r="1">
      <c r="A1" s="17" t="inlineStr">
        <is>
          <t>VIRORAH PMS — Manager Dashboard (by Department)</t>
        </is>
      </c>
    </row>
    <row r="2">
      <c r="A2" s="13" t="inlineStr">
        <is>
          <t>Department-level performance summary. Pulls from Employee Data automatically.</t>
        </is>
      </c>
    </row>
    <row r="3">
      <c r="A3" s="3" t="n"/>
    </row>
    <row r="5" ht="24" customHeight="1">
      <c r="A5" s="15" t="inlineStr">
        <is>
          <t>Department</t>
        </is>
      </c>
      <c r="B5" s="15" t="inlineStr">
        <is>
          <t>Headcount</t>
        </is>
      </c>
      <c r="C5" s="15" t="inlineStr">
        <is>
          <t>Avg Perf</t>
        </is>
      </c>
      <c r="D5" s="15" t="inlineStr">
        <is>
          <t>High Perf (4-5)</t>
        </is>
      </c>
      <c r="E5" s="15" t="inlineStr">
        <is>
          <t>Low Perf (1-2)</t>
        </is>
      </c>
      <c r="F5" s="15" t="inlineStr">
        <is>
          <t>High Flight Risk</t>
        </is>
      </c>
      <c r="G5" s="15" t="inlineStr">
        <is>
          <t>Total Payroll</t>
        </is>
      </c>
      <c r="H5" s="15" t="inlineStr">
        <is>
          <t>Avg Salary</t>
        </is>
      </c>
      <c r="I5" s="15" t="inlineStr">
        <is>
          <t>Managers Count</t>
        </is>
      </c>
    </row>
    <row r="6" ht="22" customHeight="1">
      <c r="A6" s="38" t="inlineStr">
        <is>
          <t>Engineering</t>
        </is>
      </c>
      <c r="B6" s="82">
        <f>COUNTIF('Employee Data'!G7:G2000,"Engineering")</f>
        <v/>
      </c>
      <c r="C6" s="92">
        <f>IFERROR(AVERAGEIF('Employee Data'!G7:G2000,"Engineering",'Employee Data'!B7:B2000),0)</f>
        <v/>
      </c>
      <c r="D6" s="82">
        <f>COUNTIFS('Employee Data'!G7:G2000,"Engineering",'Employee Data'!B7:B2000,"&gt;=4")</f>
        <v/>
      </c>
      <c r="E6" s="82">
        <f>COUNTIFS('Employee Data'!G7:G2000,"Engineering",'Employee Data'!B7:B2000,"&lt;=2")</f>
        <v/>
      </c>
      <c r="F6" s="82">
        <f>COUNTIFS('Employee Data'!G7:G2000,"Engineering",'Employee Data'!I7:I2000,"High")</f>
        <v/>
      </c>
      <c r="G6" s="85">
        <f>SUMIF('Employee Data'!G7:G2000,"Engineering",'Employee Data'!D7:D2000)</f>
        <v/>
      </c>
      <c r="H6" s="85">
        <f>IFERROR(G6/B6,0)</f>
        <v/>
      </c>
      <c r="I6" s="82">
        <f>COUNTIFS('Employee Data'!G7:G2000,"Engineering",'Employee Data'!K7:K2000,"Yes")</f>
        <v/>
      </c>
    </row>
    <row r="7" ht="22" customHeight="1">
      <c r="A7" s="42" t="inlineStr">
        <is>
          <t>Product</t>
        </is>
      </c>
      <c r="B7" s="87">
        <f>COUNTIF('Employee Data'!G7:G2000,"Product")</f>
        <v/>
      </c>
      <c r="C7" s="93">
        <f>IFERROR(AVERAGEIF('Employee Data'!G7:G2000,"Product",'Employee Data'!B7:B2000),0)</f>
        <v/>
      </c>
      <c r="D7" s="87">
        <f>COUNTIFS('Employee Data'!G7:G2000,"Product",'Employee Data'!B7:B2000,"&gt;=4")</f>
        <v/>
      </c>
      <c r="E7" s="87">
        <f>COUNTIFS('Employee Data'!G7:G2000,"Product",'Employee Data'!B7:B2000,"&lt;=2")</f>
        <v/>
      </c>
      <c r="F7" s="87">
        <f>COUNTIFS('Employee Data'!G7:G2000,"Product",'Employee Data'!I7:I2000,"High")</f>
        <v/>
      </c>
      <c r="G7" s="90">
        <f>SUMIF('Employee Data'!G7:G2000,"Product",'Employee Data'!D7:D2000)</f>
        <v/>
      </c>
      <c r="H7" s="90">
        <f>IFERROR(G7/B7,0)</f>
        <v/>
      </c>
      <c r="I7" s="87">
        <f>COUNTIFS('Employee Data'!G7:G2000,"Product",'Employee Data'!K7:K2000,"Yes")</f>
        <v/>
      </c>
    </row>
    <row r="8" ht="22" customHeight="1">
      <c r="A8" s="38" t="inlineStr">
        <is>
          <t>Sales</t>
        </is>
      </c>
      <c r="B8" s="82">
        <f>COUNTIF('Employee Data'!G7:G2000,"Sales")</f>
        <v/>
      </c>
      <c r="C8" s="92">
        <f>IFERROR(AVERAGEIF('Employee Data'!G7:G2000,"Sales",'Employee Data'!B7:B2000),0)</f>
        <v/>
      </c>
      <c r="D8" s="82">
        <f>COUNTIFS('Employee Data'!G7:G2000,"Sales",'Employee Data'!B7:B2000,"&gt;=4")</f>
        <v/>
      </c>
      <c r="E8" s="82">
        <f>COUNTIFS('Employee Data'!G7:G2000,"Sales",'Employee Data'!B7:B2000,"&lt;=2")</f>
        <v/>
      </c>
      <c r="F8" s="82">
        <f>COUNTIFS('Employee Data'!G7:G2000,"Sales",'Employee Data'!I7:I2000,"High")</f>
        <v/>
      </c>
      <c r="G8" s="85">
        <f>SUMIF('Employee Data'!G7:G2000,"Sales",'Employee Data'!D7:D2000)</f>
        <v/>
      </c>
      <c r="H8" s="85">
        <f>IFERROR(G8/B8,0)</f>
        <v/>
      </c>
      <c r="I8" s="82">
        <f>COUNTIFS('Employee Data'!G7:G2000,"Sales",'Employee Data'!K7:K2000,"Yes")</f>
        <v/>
      </c>
    </row>
    <row r="9" ht="22" customHeight="1">
      <c r="A9" s="42" t="inlineStr">
        <is>
          <t>Marketing</t>
        </is>
      </c>
      <c r="B9" s="87">
        <f>COUNTIF('Employee Data'!G7:G2000,"Marketing")</f>
        <v/>
      </c>
      <c r="C9" s="93">
        <f>IFERROR(AVERAGEIF('Employee Data'!G7:G2000,"Marketing",'Employee Data'!B7:B2000),0)</f>
        <v/>
      </c>
      <c r="D9" s="87">
        <f>COUNTIFS('Employee Data'!G7:G2000,"Marketing",'Employee Data'!B7:B2000,"&gt;=4")</f>
        <v/>
      </c>
      <c r="E9" s="87">
        <f>COUNTIFS('Employee Data'!G7:G2000,"Marketing",'Employee Data'!B7:B2000,"&lt;=2")</f>
        <v/>
      </c>
      <c r="F9" s="87">
        <f>COUNTIFS('Employee Data'!G7:G2000,"Marketing",'Employee Data'!I7:I2000,"High")</f>
        <v/>
      </c>
      <c r="G9" s="90">
        <f>SUMIF('Employee Data'!G7:G2000,"Marketing",'Employee Data'!D7:D2000)</f>
        <v/>
      </c>
      <c r="H9" s="90">
        <f>IFERROR(G9/B9,0)</f>
        <v/>
      </c>
      <c r="I9" s="87">
        <f>COUNTIFS('Employee Data'!G7:G2000,"Marketing",'Employee Data'!K7:K2000,"Yes")</f>
        <v/>
      </c>
    </row>
    <row r="10" ht="22" customHeight="1">
      <c r="A10" s="38" t="inlineStr">
        <is>
          <t>Finance</t>
        </is>
      </c>
      <c r="B10" s="82">
        <f>COUNTIF('Employee Data'!G7:G2000,"Finance")</f>
        <v/>
      </c>
      <c r="C10" s="92">
        <f>IFERROR(AVERAGEIF('Employee Data'!G7:G2000,"Finance",'Employee Data'!B7:B2000),0)</f>
        <v/>
      </c>
      <c r="D10" s="82">
        <f>COUNTIFS('Employee Data'!G7:G2000,"Finance",'Employee Data'!B7:B2000,"&gt;=4")</f>
        <v/>
      </c>
      <c r="E10" s="82">
        <f>COUNTIFS('Employee Data'!G7:G2000,"Finance",'Employee Data'!B7:B2000,"&lt;=2")</f>
        <v/>
      </c>
      <c r="F10" s="82">
        <f>COUNTIFS('Employee Data'!G7:G2000,"Finance",'Employee Data'!I7:I2000,"High")</f>
        <v/>
      </c>
      <c r="G10" s="85">
        <f>SUMIF('Employee Data'!G7:G2000,"Finance",'Employee Data'!D7:D2000)</f>
        <v/>
      </c>
      <c r="H10" s="85">
        <f>IFERROR(G10/B10,0)</f>
        <v/>
      </c>
      <c r="I10" s="82">
        <f>COUNTIFS('Employee Data'!G7:G2000,"Finance",'Employee Data'!K7:K2000,"Yes")</f>
        <v/>
      </c>
    </row>
    <row r="11" ht="22" customHeight="1">
      <c r="A11" s="42" t="inlineStr">
        <is>
          <t>Operations</t>
        </is>
      </c>
      <c r="B11" s="87">
        <f>COUNTIF('Employee Data'!G7:G2000,"Operations")</f>
        <v/>
      </c>
      <c r="C11" s="93">
        <f>IFERROR(AVERAGEIF('Employee Data'!G7:G2000,"Operations",'Employee Data'!B7:B2000),0)</f>
        <v/>
      </c>
      <c r="D11" s="87">
        <f>COUNTIFS('Employee Data'!G7:G2000,"Operations",'Employee Data'!B7:B2000,"&gt;=4")</f>
        <v/>
      </c>
      <c r="E11" s="87">
        <f>COUNTIFS('Employee Data'!G7:G2000,"Operations",'Employee Data'!B7:B2000,"&lt;=2")</f>
        <v/>
      </c>
      <c r="F11" s="87">
        <f>COUNTIFS('Employee Data'!G7:G2000,"Operations",'Employee Data'!I7:I2000,"High")</f>
        <v/>
      </c>
      <c r="G11" s="90">
        <f>SUMIF('Employee Data'!G7:G2000,"Operations",'Employee Data'!D7:D2000)</f>
        <v/>
      </c>
      <c r="H11" s="90">
        <f>IFERROR(G11/B11,0)</f>
        <v/>
      </c>
      <c r="I11" s="87">
        <f>COUNTIFS('Employee Data'!G7:G2000,"Operations",'Employee Data'!K7:K2000,"Yes")</f>
        <v/>
      </c>
    </row>
    <row r="12" ht="22" customHeight="1">
      <c r="A12" s="38" t="inlineStr">
        <is>
          <t>HR</t>
        </is>
      </c>
      <c r="B12" s="82">
        <f>COUNTIF('Employee Data'!G7:G2000,"HR")</f>
        <v/>
      </c>
      <c r="C12" s="92">
        <f>IFERROR(AVERAGEIF('Employee Data'!G7:G2000,"HR",'Employee Data'!B7:B2000),0)</f>
        <v/>
      </c>
      <c r="D12" s="82">
        <f>COUNTIFS('Employee Data'!G7:G2000,"HR",'Employee Data'!B7:B2000,"&gt;=4")</f>
        <v/>
      </c>
      <c r="E12" s="82">
        <f>COUNTIFS('Employee Data'!G7:G2000,"HR",'Employee Data'!B7:B2000,"&lt;=2")</f>
        <v/>
      </c>
      <c r="F12" s="82">
        <f>COUNTIFS('Employee Data'!G7:G2000,"HR",'Employee Data'!I7:I2000,"High")</f>
        <v/>
      </c>
      <c r="G12" s="85">
        <f>SUMIF('Employee Data'!G7:G2000,"HR",'Employee Data'!D7:D2000)</f>
        <v/>
      </c>
      <c r="H12" s="85">
        <f>IFERROR(G12/B12,0)</f>
        <v/>
      </c>
      <c r="I12" s="82">
        <f>COUNTIFS('Employee Data'!G7:G2000,"HR",'Employee Data'!K7:K2000,"Yes")</f>
        <v/>
      </c>
    </row>
    <row r="13" ht="22" customHeight="1">
      <c r="A13" s="42" t="inlineStr">
        <is>
          <t>Executive</t>
        </is>
      </c>
      <c r="B13" s="87">
        <f>COUNTIF('Employee Data'!G7:G2000,"Executive")</f>
        <v/>
      </c>
      <c r="C13" s="93">
        <f>IFERROR(AVERAGEIF('Employee Data'!G7:G2000,"Executive",'Employee Data'!B7:B2000),0)</f>
        <v/>
      </c>
      <c r="D13" s="87">
        <f>COUNTIFS('Employee Data'!G7:G2000,"Executive",'Employee Data'!B7:B2000,"&gt;=4")</f>
        <v/>
      </c>
      <c r="E13" s="87">
        <f>COUNTIFS('Employee Data'!G7:G2000,"Executive",'Employee Data'!B7:B2000,"&lt;=2")</f>
        <v/>
      </c>
      <c r="F13" s="87">
        <f>COUNTIFS('Employee Data'!G7:G2000,"Executive",'Employee Data'!I7:I2000,"High")</f>
        <v/>
      </c>
      <c r="G13" s="90">
        <f>SUMIF('Employee Data'!G7:G2000,"Executive",'Employee Data'!D7:D2000)</f>
        <v/>
      </c>
      <c r="H13" s="90">
        <f>IFERROR(G13/B13,0)</f>
        <v/>
      </c>
      <c r="I13" s="87">
        <f>COUNTIFS('Employee Data'!G7:G2000,"Executive",'Employee Data'!K7:K2000,"Yes")</f>
        <v/>
      </c>
    </row>
    <row r="14" ht="22" customHeight="1">
      <c r="A14" s="38" t="inlineStr">
        <is>
          <t>Design</t>
        </is>
      </c>
      <c r="B14" s="82">
        <f>COUNTIF('Employee Data'!G7:G2000,"Design")</f>
        <v/>
      </c>
      <c r="C14" s="92">
        <f>IFERROR(AVERAGEIF('Employee Data'!G7:G2000,"Design",'Employee Data'!B7:B2000),0)</f>
        <v/>
      </c>
      <c r="D14" s="82">
        <f>COUNTIFS('Employee Data'!G7:G2000,"Design",'Employee Data'!B7:B2000,"&gt;=4")</f>
        <v/>
      </c>
      <c r="E14" s="82">
        <f>COUNTIFS('Employee Data'!G7:G2000,"Design",'Employee Data'!B7:B2000,"&lt;=2")</f>
        <v/>
      </c>
      <c r="F14" s="82">
        <f>COUNTIFS('Employee Data'!G7:G2000,"Design",'Employee Data'!I7:I2000,"High")</f>
        <v/>
      </c>
      <c r="G14" s="85">
        <f>SUMIF('Employee Data'!G7:G2000,"Design",'Employee Data'!D7:D2000)</f>
        <v/>
      </c>
      <c r="H14" s="85">
        <f>IFERROR(G14/B14,0)</f>
        <v/>
      </c>
      <c r="I14" s="82">
        <f>COUNTIFS('Employee Data'!G7:G2000,"Design",'Employee Data'!K7:K2000,"Yes")</f>
        <v/>
      </c>
    </row>
    <row r="15" ht="22" customHeight="1">
      <c r="A15" s="42" t="inlineStr">
        <is>
          <t>Other</t>
        </is>
      </c>
      <c r="B15" s="87">
        <f>COUNTIF('Employee Data'!G7:G2000,"Other")</f>
        <v/>
      </c>
      <c r="C15" s="93">
        <f>IFERROR(AVERAGEIF('Employee Data'!G7:G2000,"Other",'Employee Data'!B7:B2000),0)</f>
        <v/>
      </c>
      <c r="D15" s="87">
        <f>COUNTIFS('Employee Data'!G7:G2000,"Other",'Employee Data'!B7:B2000,"&gt;=4")</f>
        <v/>
      </c>
      <c r="E15" s="87">
        <f>COUNTIFS('Employee Data'!G7:G2000,"Other",'Employee Data'!B7:B2000,"&lt;=2")</f>
        <v/>
      </c>
      <c r="F15" s="87">
        <f>COUNTIFS('Employee Data'!G7:G2000,"Other",'Employee Data'!I7:I2000,"High")</f>
        <v/>
      </c>
      <c r="G15" s="90">
        <f>SUMIF('Employee Data'!G7:G2000,"Other",'Employee Data'!D7:D2000)</f>
        <v/>
      </c>
      <c r="H15" s="90">
        <f>IFERROR(G15/B15,0)</f>
        <v/>
      </c>
      <c r="I15" s="87">
        <f>COUNTIFS('Employee Data'!G7:G2000,"Other",'Employee Data'!K7:K2000,"Yes")</f>
        <v/>
      </c>
    </row>
    <row r="16" ht="22" customHeight="1">
      <c r="A16" s="49" t="inlineStr">
        <is>
          <t>TOTAL</t>
        </is>
      </c>
      <c r="B16" s="49">
        <f>SUM(B6:B15)</f>
        <v/>
      </c>
      <c r="C16" s="94">
        <f>IFERROR(AVERAGEIF('Employee Data'!B7:B2000,"&gt;0"),0)</f>
        <v/>
      </c>
      <c r="D16" s="49">
        <f>SUM(D6:D15)</f>
        <v/>
      </c>
      <c r="E16" s="49">
        <f>SUM(E6:E15)</f>
        <v/>
      </c>
      <c r="F16" s="49">
        <f>SUM(F6:F15)</f>
        <v/>
      </c>
      <c r="G16" s="95">
        <f>SUM(G6:G15)</f>
        <v/>
      </c>
      <c r="H16" s="95">
        <f>IFERROR(G16/B16,0)</f>
        <v/>
      </c>
      <c r="I16" s="49">
        <f>SUM(I6:I15)</f>
        <v/>
      </c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5CF6"/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14" customWidth="1" min="3" max="3"/>
    <col width="12" customWidth="1" min="4" max="4"/>
    <col width="12" customWidth="1" min="5" max="5"/>
    <col width="14" customWidth="1" min="6" max="6"/>
    <col width="14" customWidth="1" min="7" max="7"/>
    <col width="40" customWidth="1" min="8" max="8"/>
  </cols>
  <sheetData>
    <row r="1">
      <c r="A1" s="17" t="inlineStr">
        <is>
          <t>VIRORAH PMS — Calibration Engine</t>
        </is>
      </c>
    </row>
    <row r="2">
      <c r="A2" s="13" t="inlineStr">
        <is>
          <t>Forced distribution calibration. Set your target % per rating and see adjustment recommendations.</t>
        </is>
      </c>
    </row>
    <row r="3">
      <c r="A3" s="3" t="n"/>
    </row>
    <row r="4" ht="22" customHeight="1">
      <c r="A4" s="91" t="inlineStr">
        <is>
          <t>TARGET DISTRIBUTION (edit yellow cells — must sum to 100%)</t>
        </is>
      </c>
    </row>
    <row r="5" ht="22" customHeight="1">
      <c r="A5" s="15" t="inlineStr">
        <is>
          <t>Rating</t>
        </is>
      </c>
      <c r="B5" s="15" t="inlineStr">
        <is>
          <t>Label</t>
        </is>
      </c>
      <c r="C5" s="15" t="inlineStr">
        <is>
          <t>Current Count</t>
        </is>
      </c>
      <c r="D5" s="15" t="inlineStr">
        <is>
          <t>Current %</t>
        </is>
      </c>
      <c r="E5" s="15" t="inlineStr">
        <is>
          <t>Target %</t>
        </is>
      </c>
      <c r="F5" s="15" t="inlineStr">
        <is>
          <t>Target Count</t>
        </is>
      </c>
      <c r="G5" s="15" t="inlineStr">
        <is>
          <t>Difference</t>
        </is>
      </c>
      <c r="H5" s="15" t="inlineStr">
        <is>
          <t>Action</t>
        </is>
      </c>
    </row>
    <row r="6" ht="22" customHeight="1">
      <c r="A6" s="72" t="n">
        <v>1</v>
      </c>
      <c r="B6" s="63" t="inlineStr">
        <is>
          <t>Needs Improvement</t>
        </is>
      </c>
      <c r="C6" s="82">
        <f>COUNTIF('Employee Data'!B7:B2000,1)</f>
        <v/>
      </c>
      <c r="D6" s="83">
        <f>IFERROR(C6/SUM(C6:C10),0)</f>
        <v/>
      </c>
      <c r="E6" s="64" t="n">
        <v>0.05</v>
      </c>
      <c r="F6" s="82">
        <f>ROUND(E6*SUM(C6:C10),0)</f>
        <v/>
      </c>
      <c r="G6" s="82">
        <f>F6-C6</f>
        <v/>
      </c>
      <c r="H6" s="61">
        <f>IF(G6&gt;0,"Move "&amp;G6&amp;" employees UP to Rating 1",IF(G6&lt;0,"Move "&amp;ABS(G6)&amp;" employees DOWN from Rating 1","No change needed"))</f>
        <v/>
      </c>
    </row>
    <row r="7" ht="22" customHeight="1">
      <c r="A7" s="75" t="n">
        <v>2</v>
      </c>
      <c r="B7" s="68" t="inlineStr">
        <is>
          <t>Below Expectations</t>
        </is>
      </c>
      <c r="C7" s="87">
        <f>COUNTIF('Employee Data'!B7:B2000,2)</f>
        <v/>
      </c>
      <c r="D7" s="88">
        <f>IFERROR(C7/SUM(C6:C10),0)</f>
        <v/>
      </c>
      <c r="E7" s="69" t="n">
        <v>0.15</v>
      </c>
      <c r="F7" s="87">
        <f>ROUND(E7*SUM(C6:C10),0)</f>
        <v/>
      </c>
      <c r="G7" s="87">
        <f>F7-C7</f>
        <v/>
      </c>
      <c r="H7" s="66">
        <f>IF(G7&gt;0,"Move "&amp;G7&amp;" employees UP to Rating 2",IF(G7&lt;0,"Move "&amp;ABS(G7)&amp;" employees DOWN from Rating 2","No change needed"))</f>
        <v/>
      </c>
    </row>
    <row r="8" ht="22" customHeight="1">
      <c r="A8" s="72" t="n">
        <v>3</v>
      </c>
      <c r="B8" s="63" t="inlineStr">
        <is>
          <t>Meets Expectations</t>
        </is>
      </c>
      <c r="C8" s="82">
        <f>COUNTIF('Employee Data'!B7:B2000,3)</f>
        <v/>
      </c>
      <c r="D8" s="83">
        <f>IFERROR(C8/SUM(C6:C10),0)</f>
        <v/>
      </c>
      <c r="E8" s="64" t="n">
        <v>0.45</v>
      </c>
      <c r="F8" s="82">
        <f>ROUND(E8*SUM(C6:C10),0)</f>
        <v/>
      </c>
      <c r="G8" s="82">
        <f>F8-C8</f>
        <v/>
      </c>
      <c r="H8" s="61">
        <f>IF(G8&gt;0,"Move "&amp;G8&amp;" employees UP to Rating 3",IF(G8&lt;0,"Move "&amp;ABS(G8)&amp;" employees DOWN from Rating 3","No change needed"))</f>
        <v/>
      </c>
    </row>
    <row r="9" ht="22" customHeight="1">
      <c r="A9" s="75" t="n">
        <v>4</v>
      </c>
      <c r="B9" s="68" t="inlineStr">
        <is>
          <t>Exceeds Expectations</t>
        </is>
      </c>
      <c r="C9" s="87">
        <f>COUNTIF('Employee Data'!B7:B2000,4)</f>
        <v/>
      </c>
      <c r="D9" s="88">
        <f>IFERROR(C9/SUM(C6:C10),0)</f>
        <v/>
      </c>
      <c r="E9" s="69" t="n">
        <v>0.25</v>
      </c>
      <c r="F9" s="87">
        <f>ROUND(E9*SUM(C6:C10),0)</f>
        <v/>
      </c>
      <c r="G9" s="87">
        <f>F9-C9</f>
        <v/>
      </c>
      <c r="H9" s="66">
        <f>IF(G9&gt;0,"Move "&amp;G9&amp;" employees UP to Rating 4",IF(G9&lt;0,"Move "&amp;ABS(G9)&amp;" employees DOWN from Rating 4","No change needed"))</f>
        <v/>
      </c>
    </row>
    <row r="10" ht="22" customHeight="1">
      <c r="A10" s="72" t="n">
        <v>5</v>
      </c>
      <c r="B10" s="63" t="inlineStr">
        <is>
          <t>Outstanding</t>
        </is>
      </c>
      <c r="C10" s="82">
        <f>COUNTIF('Employee Data'!B7:B2000,5)</f>
        <v/>
      </c>
      <c r="D10" s="83">
        <f>IFERROR(C10/SUM(C6:C10),0)</f>
        <v/>
      </c>
      <c r="E10" s="64" t="n">
        <v>0.1</v>
      </c>
      <c r="F10" s="82">
        <f>ROUND(E10*SUM(C6:C10),0)</f>
        <v/>
      </c>
      <c r="G10" s="82">
        <f>F10-C10</f>
        <v/>
      </c>
      <c r="H10" s="61">
        <f>IF(G10&gt;0,"Move "&amp;G10&amp;" employees UP to Rating 5",IF(G10&lt;0,"Move "&amp;ABS(G10)&amp;" employees DOWN from Rating 5","No change needed"))</f>
        <v/>
      </c>
    </row>
  </sheetData>
  <mergeCells count="4">
    <mergeCell ref="A4:H4"/>
    <mergeCell ref="A3:H3"/>
    <mergeCell ref="A2:H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14B8A6"/>
    <outlinePr summaryBelow="1" summaryRight="1"/>
    <pageSetUpPr/>
  </sheetPr>
  <dimension ref="A1:K5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28" customWidth="1" min="3" max="3"/>
    <col width="12" customWidth="1" min="4" max="4"/>
    <col width="12" customWidth="1" min="5" max="5"/>
    <col width="10" customWidth="1" min="6" max="6"/>
    <col width="12" customWidth="1" min="7" max="7"/>
    <col width="12" customWidth="1" min="8" max="8"/>
    <col width="10" customWidth="1" min="9" max="9"/>
    <col width="12" customWidth="1" min="10" max="10"/>
    <col width="12" customWidth="1" min="11" max="11"/>
  </cols>
  <sheetData>
    <row r="1">
      <c r="A1" s="17" t="inlineStr">
        <is>
          <t>VIRORAH PMS — OKR Tracker</t>
        </is>
      </c>
    </row>
    <row r="2">
      <c r="A2" s="13" t="inlineStr">
        <is>
          <t>Track OKR progress across employees. Set objectives and key result targets, update progress regularly.</t>
        </is>
      </c>
    </row>
    <row r="3">
      <c r="A3" s="3" t="n"/>
    </row>
    <row r="5" ht="24" customHeight="1">
      <c r="A5" s="15" t="inlineStr">
        <is>
          <t>Employee</t>
        </is>
      </c>
      <c r="B5" s="15" t="inlineStr">
        <is>
          <t>Dept</t>
        </is>
      </c>
      <c r="C5" s="15" t="inlineStr">
        <is>
          <t>Objective</t>
        </is>
      </c>
      <c r="D5" s="15" t="inlineStr">
        <is>
          <t>KR1 Target</t>
        </is>
      </c>
      <c r="E5" s="15" t="inlineStr">
        <is>
          <t>KR1 Actual</t>
        </is>
      </c>
      <c r="F5" s="15" t="inlineStr">
        <is>
          <t>KR1 %</t>
        </is>
      </c>
      <c r="G5" s="15" t="inlineStr">
        <is>
          <t>KR2 Target</t>
        </is>
      </c>
      <c r="H5" s="15" t="inlineStr">
        <is>
          <t>KR2 Actual</t>
        </is>
      </c>
      <c r="I5" s="15" t="inlineStr">
        <is>
          <t>KR2 %</t>
        </is>
      </c>
      <c r="J5" s="15" t="inlineStr">
        <is>
          <t>OKR Score</t>
        </is>
      </c>
      <c r="K5" s="15" t="inlineStr">
        <is>
          <t>Status</t>
        </is>
      </c>
    </row>
    <row r="6">
      <c r="A6" s="61">
        <f>'Employee Data'!A7</f>
        <v/>
      </c>
      <c r="B6" s="82">
        <f>'Employee Data'!G7</f>
        <v/>
      </c>
      <c r="C6" s="72" t="inlineStr"/>
      <c r="D6" s="72" t="n">
        <v>100</v>
      </c>
      <c r="E6" s="72" t="n">
        <v>0</v>
      </c>
      <c r="F6" s="96">
        <f>IFERROR(E6/D6,0)</f>
        <v/>
      </c>
      <c r="G6" s="72" t="n">
        <v>100</v>
      </c>
      <c r="H6" s="72" t="n">
        <v>0</v>
      </c>
      <c r="I6" s="96">
        <f>IFERROR(H6/G6,0)</f>
        <v/>
      </c>
      <c r="J6" s="96">
        <f>IFERROR((F6+I6)/2,0)</f>
        <v/>
      </c>
      <c r="K6" s="72">
        <f>IF(J6="","",IF(J6&gt;=0.8,"On Track",IF(J6&gt;=0.6,"At Risk","Off Track")))</f>
        <v/>
      </c>
    </row>
    <row r="7">
      <c r="A7" s="66">
        <f>'Employee Data'!A8</f>
        <v/>
      </c>
      <c r="B7" s="87">
        <f>'Employee Data'!G8</f>
        <v/>
      </c>
      <c r="C7" s="75" t="inlineStr"/>
      <c r="D7" s="75" t="n">
        <v>100</v>
      </c>
      <c r="E7" s="75" t="n">
        <v>0</v>
      </c>
      <c r="F7" s="97">
        <f>IFERROR(E7/D7,0)</f>
        <v/>
      </c>
      <c r="G7" s="75" t="n">
        <v>100</v>
      </c>
      <c r="H7" s="75" t="n">
        <v>0</v>
      </c>
      <c r="I7" s="97">
        <f>IFERROR(H7/G7,0)</f>
        <v/>
      </c>
      <c r="J7" s="97">
        <f>IFERROR((F7+I7)/2,0)</f>
        <v/>
      </c>
      <c r="K7" s="75">
        <f>IF(J7="","",IF(J7&gt;=0.8,"On Track",IF(J7&gt;=0.6,"At Risk","Off Track")))</f>
        <v/>
      </c>
    </row>
    <row r="8">
      <c r="A8" s="61">
        <f>'Employee Data'!A9</f>
        <v/>
      </c>
      <c r="B8" s="82">
        <f>'Employee Data'!G9</f>
        <v/>
      </c>
      <c r="C8" s="72" t="inlineStr"/>
      <c r="D8" s="72" t="n">
        <v>100</v>
      </c>
      <c r="E8" s="72" t="n">
        <v>0</v>
      </c>
      <c r="F8" s="96">
        <f>IFERROR(E8/D8,0)</f>
        <v/>
      </c>
      <c r="G8" s="72" t="n">
        <v>100</v>
      </c>
      <c r="H8" s="72" t="n">
        <v>0</v>
      </c>
      <c r="I8" s="96">
        <f>IFERROR(H8/G8,0)</f>
        <v/>
      </c>
      <c r="J8" s="96">
        <f>IFERROR((F8+I8)/2,0)</f>
        <v/>
      </c>
      <c r="K8" s="72">
        <f>IF(J8="","",IF(J8&gt;=0.8,"On Track",IF(J8&gt;=0.6,"At Risk","Off Track")))</f>
        <v/>
      </c>
    </row>
    <row r="9">
      <c r="A9" s="66">
        <f>'Employee Data'!A10</f>
        <v/>
      </c>
      <c r="B9" s="87">
        <f>'Employee Data'!G10</f>
        <v/>
      </c>
      <c r="C9" s="75" t="inlineStr"/>
      <c r="D9" s="75" t="n">
        <v>100</v>
      </c>
      <c r="E9" s="75" t="n">
        <v>0</v>
      </c>
      <c r="F9" s="97">
        <f>IFERROR(E9/D9,0)</f>
        <v/>
      </c>
      <c r="G9" s="75" t="n">
        <v>100</v>
      </c>
      <c r="H9" s="75" t="n">
        <v>0</v>
      </c>
      <c r="I9" s="97">
        <f>IFERROR(H9/G9,0)</f>
        <v/>
      </c>
      <c r="J9" s="97">
        <f>IFERROR((F9+I9)/2,0)</f>
        <v/>
      </c>
      <c r="K9" s="75">
        <f>IF(J9="","",IF(J9&gt;=0.8,"On Track",IF(J9&gt;=0.6,"At Risk","Off Track")))</f>
        <v/>
      </c>
    </row>
    <row r="10">
      <c r="A10" s="61">
        <f>'Employee Data'!A11</f>
        <v/>
      </c>
      <c r="B10" s="82">
        <f>'Employee Data'!G11</f>
        <v/>
      </c>
      <c r="C10" s="72" t="inlineStr"/>
      <c r="D10" s="72" t="n">
        <v>100</v>
      </c>
      <c r="E10" s="72" t="n">
        <v>0</v>
      </c>
      <c r="F10" s="96">
        <f>IFERROR(E10/D10,0)</f>
        <v/>
      </c>
      <c r="G10" s="72" t="n">
        <v>100</v>
      </c>
      <c r="H10" s="72" t="n">
        <v>0</v>
      </c>
      <c r="I10" s="96">
        <f>IFERROR(H10/G10,0)</f>
        <v/>
      </c>
      <c r="J10" s="96">
        <f>IFERROR((F10+I10)/2,0)</f>
        <v/>
      </c>
      <c r="K10" s="72">
        <f>IF(J10="","",IF(J10&gt;=0.8,"On Track",IF(J10&gt;=0.6,"At Risk","Off Track")))</f>
        <v/>
      </c>
    </row>
    <row r="11">
      <c r="A11" s="66">
        <f>'Employee Data'!A12</f>
        <v/>
      </c>
      <c r="B11" s="87">
        <f>'Employee Data'!G12</f>
        <v/>
      </c>
      <c r="C11" s="75" t="inlineStr"/>
      <c r="D11" s="75" t="n">
        <v>100</v>
      </c>
      <c r="E11" s="75" t="n">
        <v>0</v>
      </c>
      <c r="F11" s="97">
        <f>IFERROR(E11/D11,0)</f>
        <v/>
      </c>
      <c r="G11" s="75" t="n">
        <v>100</v>
      </c>
      <c r="H11" s="75" t="n">
        <v>0</v>
      </c>
      <c r="I11" s="97">
        <f>IFERROR(H11/G11,0)</f>
        <v/>
      </c>
      <c r="J11" s="97">
        <f>IFERROR((F11+I11)/2,0)</f>
        <v/>
      </c>
      <c r="K11" s="75">
        <f>IF(J11="","",IF(J11&gt;=0.8,"On Track",IF(J11&gt;=0.6,"At Risk","Off Track")))</f>
        <v/>
      </c>
    </row>
    <row r="12">
      <c r="A12" s="61">
        <f>'Employee Data'!A13</f>
        <v/>
      </c>
      <c r="B12" s="82">
        <f>'Employee Data'!G13</f>
        <v/>
      </c>
      <c r="C12" s="72" t="inlineStr"/>
      <c r="D12" s="72" t="n">
        <v>100</v>
      </c>
      <c r="E12" s="72" t="n">
        <v>0</v>
      </c>
      <c r="F12" s="96">
        <f>IFERROR(E12/D12,0)</f>
        <v/>
      </c>
      <c r="G12" s="72" t="n">
        <v>100</v>
      </c>
      <c r="H12" s="72" t="n">
        <v>0</v>
      </c>
      <c r="I12" s="96">
        <f>IFERROR(H12/G12,0)</f>
        <v/>
      </c>
      <c r="J12" s="96">
        <f>IFERROR((F12+I12)/2,0)</f>
        <v/>
      </c>
      <c r="K12" s="72">
        <f>IF(J12="","",IF(J12&gt;=0.8,"On Track",IF(J12&gt;=0.6,"At Risk","Off Track")))</f>
        <v/>
      </c>
    </row>
    <row r="13">
      <c r="A13" s="66">
        <f>'Employee Data'!A14</f>
        <v/>
      </c>
      <c r="B13" s="87">
        <f>'Employee Data'!G14</f>
        <v/>
      </c>
      <c r="C13" s="75" t="inlineStr"/>
      <c r="D13" s="75" t="n">
        <v>100</v>
      </c>
      <c r="E13" s="75" t="n">
        <v>0</v>
      </c>
      <c r="F13" s="97">
        <f>IFERROR(E13/D13,0)</f>
        <v/>
      </c>
      <c r="G13" s="75" t="n">
        <v>100</v>
      </c>
      <c r="H13" s="75" t="n">
        <v>0</v>
      </c>
      <c r="I13" s="97">
        <f>IFERROR(H13/G13,0)</f>
        <v/>
      </c>
      <c r="J13" s="97">
        <f>IFERROR((F13+I13)/2,0)</f>
        <v/>
      </c>
      <c r="K13" s="75">
        <f>IF(J13="","",IF(J13&gt;=0.8,"On Track",IF(J13&gt;=0.6,"At Risk","Off Track")))</f>
        <v/>
      </c>
    </row>
    <row r="14">
      <c r="A14" s="61">
        <f>'Employee Data'!A15</f>
        <v/>
      </c>
      <c r="B14" s="82">
        <f>'Employee Data'!G15</f>
        <v/>
      </c>
      <c r="C14" s="72" t="inlineStr"/>
      <c r="D14" s="72" t="n">
        <v>100</v>
      </c>
      <c r="E14" s="72" t="n">
        <v>0</v>
      </c>
      <c r="F14" s="96">
        <f>IFERROR(E14/D14,0)</f>
        <v/>
      </c>
      <c r="G14" s="72" t="n">
        <v>100</v>
      </c>
      <c r="H14" s="72" t="n">
        <v>0</v>
      </c>
      <c r="I14" s="96">
        <f>IFERROR(H14/G14,0)</f>
        <v/>
      </c>
      <c r="J14" s="96">
        <f>IFERROR((F14+I14)/2,0)</f>
        <v/>
      </c>
      <c r="K14" s="72">
        <f>IF(J14="","",IF(J14&gt;=0.8,"On Track",IF(J14&gt;=0.6,"At Risk","Off Track")))</f>
        <v/>
      </c>
    </row>
    <row r="15">
      <c r="A15" s="66">
        <f>'Employee Data'!A16</f>
        <v/>
      </c>
      <c r="B15" s="87">
        <f>'Employee Data'!G16</f>
        <v/>
      </c>
      <c r="C15" s="75" t="inlineStr"/>
      <c r="D15" s="75" t="n">
        <v>100</v>
      </c>
      <c r="E15" s="75" t="n">
        <v>0</v>
      </c>
      <c r="F15" s="97">
        <f>IFERROR(E15/D15,0)</f>
        <v/>
      </c>
      <c r="G15" s="75" t="n">
        <v>100</v>
      </c>
      <c r="H15" s="75" t="n">
        <v>0</v>
      </c>
      <c r="I15" s="97">
        <f>IFERROR(H15/G15,0)</f>
        <v/>
      </c>
      <c r="J15" s="97">
        <f>IFERROR((F15+I15)/2,0)</f>
        <v/>
      </c>
      <c r="K15" s="75">
        <f>IF(J15="","",IF(J15&gt;=0.8,"On Track",IF(J15&gt;=0.6,"At Risk","Off Track")))</f>
        <v/>
      </c>
    </row>
    <row r="16">
      <c r="A16" s="61">
        <f>'Employee Data'!A17</f>
        <v/>
      </c>
      <c r="B16" s="82">
        <f>'Employee Data'!G17</f>
        <v/>
      </c>
      <c r="C16" s="72" t="inlineStr"/>
      <c r="D16" s="72" t="n">
        <v>100</v>
      </c>
      <c r="E16" s="72" t="n">
        <v>0</v>
      </c>
      <c r="F16" s="96">
        <f>IFERROR(E16/D16,0)</f>
        <v/>
      </c>
      <c r="G16" s="72" t="n">
        <v>100</v>
      </c>
      <c r="H16" s="72" t="n">
        <v>0</v>
      </c>
      <c r="I16" s="96">
        <f>IFERROR(H16/G16,0)</f>
        <v/>
      </c>
      <c r="J16" s="96">
        <f>IFERROR((F16+I16)/2,0)</f>
        <v/>
      </c>
      <c r="K16" s="72">
        <f>IF(J16="","",IF(J16&gt;=0.8,"On Track",IF(J16&gt;=0.6,"At Risk","Off Track")))</f>
        <v/>
      </c>
    </row>
    <row r="17">
      <c r="A17" s="66">
        <f>'Employee Data'!A18</f>
        <v/>
      </c>
      <c r="B17" s="87">
        <f>'Employee Data'!G18</f>
        <v/>
      </c>
      <c r="C17" s="75" t="inlineStr"/>
      <c r="D17" s="75" t="n">
        <v>100</v>
      </c>
      <c r="E17" s="75" t="n">
        <v>0</v>
      </c>
      <c r="F17" s="97">
        <f>IFERROR(E17/D17,0)</f>
        <v/>
      </c>
      <c r="G17" s="75" t="n">
        <v>100</v>
      </c>
      <c r="H17" s="75" t="n">
        <v>0</v>
      </c>
      <c r="I17" s="97">
        <f>IFERROR(H17/G17,0)</f>
        <v/>
      </c>
      <c r="J17" s="97">
        <f>IFERROR((F17+I17)/2,0)</f>
        <v/>
      </c>
      <c r="K17" s="75">
        <f>IF(J17="","",IF(J17&gt;=0.8,"On Track",IF(J17&gt;=0.6,"At Risk","Off Track")))</f>
        <v/>
      </c>
    </row>
    <row r="18">
      <c r="A18" s="61">
        <f>'Employee Data'!A19</f>
        <v/>
      </c>
      <c r="B18" s="82">
        <f>'Employee Data'!G19</f>
        <v/>
      </c>
      <c r="C18" s="72" t="inlineStr"/>
      <c r="D18" s="72" t="n">
        <v>100</v>
      </c>
      <c r="E18" s="72" t="n">
        <v>0</v>
      </c>
      <c r="F18" s="96">
        <f>IFERROR(E18/D18,0)</f>
        <v/>
      </c>
      <c r="G18" s="72" t="n">
        <v>100</v>
      </c>
      <c r="H18" s="72" t="n">
        <v>0</v>
      </c>
      <c r="I18" s="96">
        <f>IFERROR(H18/G18,0)</f>
        <v/>
      </c>
      <c r="J18" s="96">
        <f>IFERROR((F18+I18)/2,0)</f>
        <v/>
      </c>
      <c r="K18" s="72">
        <f>IF(J18="","",IF(J18&gt;=0.8,"On Track",IF(J18&gt;=0.6,"At Risk","Off Track")))</f>
        <v/>
      </c>
    </row>
    <row r="19">
      <c r="A19" s="66">
        <f>'Employee Data'!A20</f>
        <v/>
      </c>
      <c r="B19" s="87">
        <f>'Employee Data'!G20</f>
        <v/>
      </c>
      <c r="C19" s="75" t="inlineStr"/>
      <c r="D19" s="75" t="n">
        <v>100</v>
      </c>
      <c r="E19" s="75" t="n">
        <v>0</v>
      </c>
      <c r="F19" s="97">
        <f>IFERROR(E19/D19,0)</f>
        <v/>
      </c>
      <c r="G19" s="75" t="n">
        <v>100</v>
      </c>
      <c r="H19" s="75" t="n">
        <v>0</v>
      </c>
      <c r="I19" s="97">
        <f>IFERROR(H19/G19,0)</f>
        <v/>
      </c>
      <c r="J19" s="97">
        <f>IFERROR((F19+I19)/2,0)</f>
        <v/>
      </c>
      <c r="K19" s="75">
        <f>IF(J19="","",IF(J19&gt;=0.8,"On Track",IF(J19&gt;=0.6,"At Risk","Off Track")))</f>
        <v/>
      </c>
    </row>
    <row r="20">
      <c r="A20" s="61">
        <f>'Employee Data'!A21</f>
        <v/>
      </c>
      <c r="B20" s="82">
        <f>'Employee Data'!G21</f>
        <v/>
      </c>
      <c r="C20" s="72" t="inlineStr"/>
      <c r="D20" s="72" t="n">
        <v>100</v>
      </c>
      <c r="E20" s="72" t="n">
        <v>0</v>
      </c>
      <c r="F20" s="96">
        <f>IFERROR(E20/D20,0)</f>
        <v/>
      </c>
      <c r="G20" s="72" t="n">
        <v>100</v>
      </c>
      <c r="H20" s="72" t="n">
        <v>0</v>
      </c>
      <c r="I20" s="96">
        <f>IFERROR(H20/G20,0)</f>
        <v/>
      </c>
      <c r="J20" s="96">
        <f>IFERROR((F20+I20)/2,0)</f>
        <v/>
      </c>
      <c r="K20" s="72">
        <f>IF(J20="","",IF(J20&gt;=0.8,"On Track",IF(J20&gt;=0.6,"At Risk","Off Track")))</f>
        <v/>
      </c>
    </row>
    <row r="21">
      <c r="A21" s="66">
        <f>'Employee Data'!A22</f>
        <v/>
      </c>
      <c r="B21" s="87">
        <f>'Employee Data'!G22</f>
        <v/>
      </c>
      <c r="C21" s="75" t="inlineStr"/>
      <c r="D21" s="75" t="n">
        <v>100</v>
      </c>
      <c r="E21" s="75" t="n">
        <v>0</v>
      </c>
      <c r="F21" s="97">
        <f>IFERROR(E21/D21,0)</f>
        <v/>
      </c>
      <c r="G21" s="75" t="n">
        <v>100</v>
      </c>
      <c r="H21" s="75" t="n">
        <v>0</v>
      </c>
      <c r="I21" s="97">
        <f>IFERROR(H21/G21,0)</f>
        <v/>
      </c>
      <c r="J21" s="97">
        <f>IFERROR((F21+I21)/2,0)</f>
        <v/>
      </c>
      <c r="K21" s="75">
        <f>IF(J21="","",IF(J21&gt;=0.8,"On Track",IF(J21&gt;=0.6,"At Risk","Off Track")))</f>
        <v/>
      </c>
    </row>
    <row r="22">
      <c r="A22" s="61">
        <f>'Employee Data'!A23</f>
        <v/>
      </c>
      <c r="B22" s="82">
        <f>'Employee Data'!G23</f>
        <v/>
      </c>
      <c r="C22" s="72" t="inlineStr"/>
      <c r="D22" s="72" t="n">
        <v>100</v>
      </c>
      <c r="E22" s="72" t="n">
        <v>0</v>
      </c>
      <c r="F22" s="96">
        <f>IFERROR(E22/D22,0)</f>
        <v/>
      </c>
      <c r="G22" s="72" t="n">
        <v>100</v>
      </c>
      <c r="H22" s="72" t="n">
        <v>0</v>
      </c>
      <c r="I22" s="96">
        <f>IFERROR(H22/G22,0)</f>
        <v/>
      </c>
      <c r="J22" s="96">
        <f>IFERROR((F22+I22)/2,0)</f>
        <v/>
      </c>
      <c r="K22" s="72">
        <f>IF(J22="","",IF(J22&gt;=0.8,"On Track",IF(J22&gt;=0.6,"At Risk","Off Track")))</f>
        <v/>
      </c>
    </row>
    <row r="23">
      <c r="A23" s="66">
        <f>'Employee Data'!A24</f>
        <v/>
      </c>
      <c r="B23" s="87">
        <f>'Employee Data'!G24</f>
        <v/>
      </c>
      <c r="C23" s="75" t="inlineStr"/>
      <c r="D23" s="75" t="n">
        <v>100</v>
      </c>
      <c r="E23" s="75" t="n">
        <v>0</v>
      </c>
      <c r="F23" s="97">
        <f>IFERROR(E23/D23,0)</f>
        <v/>
      </c>
      <c r="G23" s="75" t="n">
        <v>100</v>
      </c>
      <c r="H23" s="75" t="n">
        <v>0</v>
      </c>
      <c r="I23" s="97">
        <f>IFERROR(H23/G23,0)</f>
        <v/>
      </c>
      <c r="J23" s="97">
        <f>IFERROR((F23+I23)/2,0)</f>
        <v/>
      </c>
      <c r="K23" s="75">
        <f>IF(J23="","",IF(J23&gt;=0.8,"On Track",IF(J23&gt;=0.6,"At Risk","Off Track")))</f>
        <v/>
      </c>
    </row>
    <row r="24">
      <c r="A24" s="61">
        <f>'Employee Data'!A25</f>
        <v/>
      </c>
      <c r="B24" s="82">
        <f>'Employee Data'!G25</f>
        <v/>
      </c>
      <c r="C24" s="72" t="inlineStr"/>
      <c r="D24" s="72" t="n">
        <v>100</v>
      </c>
      <c r="E24" s="72" t="n">
        <v>0</v>
      </c>
      <c r="F24" s="96">
        <f>IFERROR(E24/D24,0)</f>
        <v/>
      </c>
      <c r="G24" s="72" t="n">
        <v>100</v>
      </c>
      <c r="H24" s="72" t="n">
        <v>0</v>
      </c>
      <c r="I24" s="96">
        <f>IFERROR(H24/G24,0)</f>
        <v/>
      </c>
      <c r="J24" s="96">
        <f>IFERROR((F24+I24)/2,0)</f>
        <v/>
      </c>
      <c r="K24" s="72">
        <f>IF(J24="","",IF(J24&gt;=0.8,"On Track",IF(J24&gt;=0.6,"At Risk","Off Track")))</f>
        <v/>
      </c>
    </row>
    <row r="25">
      <c r="A25" s="66">
        <f>'Employee Data'!A26</f>
        <v/>
      </c>
      <c r="B25" s="87">
        <f>'Employee Data'!G26</f>
        <v/>
      </c>
      <c r="C25" s="75" t="inlineStr"/>
      <c r="D25" s="75" t="n">
        <v>100</v>
      </c>
      <c r="E25" s="75" t="n">
        <v>0</v>
      </c>
      <c r="F25" s="97">
        <f>IFERROR(E25/D25,0)</f>
        <v/>
      </c>
      <c r="G25" s="75" t="n">
        <v>100</v>
      </c>
      <c r="H25" s="75" t="n">
        <v>0</v>
      </c>
      <c r="I25" s="97">
        <f>IFERROR(H25/G25,0)</f>
        <v/>
      </c>
      <c r="J25" s="97">
        <f>IFERROR((F25+I25)/2,0)</f>
        <v/>
      </c>
      <c r="K25" s="75">
        <f>IF(J25="","",IF(J25&gt;=0.8,"On Track",IF(J25&gt;=0.6,"At Risk","Off Track")))</f>
        <v/>
      </c>
    </row>
    <row r="26">
      <c r="A26" s="61">
        <f>'Employee Data'!A27</f>
        <v/>
      </c>
      <c r="B26" s="82">
        <f>'Employee Data'!G27</f>
        <v/>
      </c>
      <c r="C26" s="72" t="inlineStr"/>
      <c r="D26" s="72" t="n">
        <v>100</v>
      </c>
      <c r="E26" s="72" t="n">
        <v>0</v>
      </c>
      <c r="F26" s="96">
        <f>IFERROR(E26/D26,0)</f>
        <v/>
      </c>
      <c r="G26" s="72" t="n">
        <v>100</v>
      </c>
      <c r="H26" s="72" t="n">
        <v>0</v>
      </c>
      <c r="I26" s="96">
        <f>IFERROR(H26/G26,0)</f>
        <v/>
      </c>
      <c r="J26" s="96">
        <f>IFERROR((F26+I26)/2,0)</f>
        <v/>
      </c>
      <c r="K26" s="72">
        <f>IF(J26="","",IF(J26&gt;=0.8,"On Track",IF(J26&gt;=0.6,"At Risk","Off Track")))</f>
        <v/>
      </c>
    </row>
    <row r="27">
      <c r="A27" s="66">
        <f>'Employee Data'!A28</f>
        <v/>
      </c>
      <c r="B27" s="87">
        <f>'Employee Data'!G28</f>
        <v/>
      </c>
      <c r="C27" s="75" t="inlineStr"/>
      <c r="D27" s="75" t="n">
        <v>100</v>
      </c>
      <c r="E27" s="75" t="n">
        <v>0</v>
      </c>
      <c r="F27" s="97">
        <f>IFERROR(E27/D27,0)</f>
        <v/>
      </c>
      <c r="G27" s="75" t="n">
        <v>100</v>
      </c>
      <c r="H27" s="75" t="n">
        <v>0</v>
      </c>
      <c r="I27" s="97">
        <f>IFERROR(H27/G27,0)</f>
        <v/>
      </c>
      <c r="J27" s="97">
        <f>IFERROR((F27+I27)/2,0)</f>
        <v/>
      </c>
      <c r="K27" s="75">
        <f>IF(J27="","",IF(J27&gt;=0.8,"On Track",IF(J27&gt;=0.6,"At Risk","Off Track")))</f>
        <v/>
      </c>
    </row>
    <row r="28">
      <c r="A28" s="61">
        <f>'Employee Data'!A29</f>
        <v/>
      </c>
      <c r="B28" s="82">
        <f>'Employee Data'!G29</f>
        <v/>
      </c>
      <c r="C28" s="72" t="inlineStr"/>
      <c r="D28" s="72" t="n">
        <v>100</v>
      </c>
      <c r="E28" s="72" t="n">
        <v>0</v>
      </c>
      <c r="F28" s="96">
        <f>IFERROR(E28/D28,0)</f>
        <v/>
      </c>
      <c r="G28" s="72" t="n">
        <v>100</v>
      </c>
      <c r="H28" s="72" t="n">
        <v>0</v>
      </c>
      <c r="I28" s="96">
        <f>IFERROR(H28/G28,0)</f>
        <v/>
      </c>
      <c r="J28" s="96">
        <f>IFERROR((F28+I28)/2,0)</f>
        <v/>
      </c>
      <c r="K28" s="72">
        <f>IF(J28="","",IF(J28&gt;=0.8,"On Track",IF(J28&gt;=0.6,"At Risk","Off Track")))</f>
        <v/>
      </c>
    </row>
    <row r="29">
      <c r="A29" s="66">
        <f>'Employee Data'!A30</f>
        <v/>
      </c>
      <c r="B29" s="87">
        <f>'Employee Data'!G30</f>
        <v/>
      </c>
      <c r="C29" s="75" t="inlineStr"/>
      <c r="D29" s="75" t="n">
        <v>100</v>
      </c>
      <c r="E29" s="75" t="n">
        <v>0</v>
      </c>
      <c r="F29" s="97">
        <f>IFERROR(E29/D29,0)</f>
        <v/>
      </c>
      <c r="G29" s="75" t="n">
        <v>100</v>
      </c>
      <c r="H29" s="75" t="n">
        <v>0</v>
      </c>
      <c r="I29" s="97">
        <f>IFERROR(H29/G29,0)</f>
        <v/>
      </c>
      <c r="J29" s="97">
        <f>IFERROR((F29+I29)/2,0)</f>
        <v/>
      </c>
      <c r="K29" s="75">
        <f>IF(J29="","",IF(J29&gt;=0.8,"On Track",IF(J29&gt;=0.6,"At Risk","Off Track")))</f>
        <v/>
      </c>
    </row>
    <row r="30">
      <c r="A30" s="61">
        <f>'Employee Data'!A31</f>
        <v/>
      </c>
      <c r="B30" s="82">
        <f>'Employee Data'!G31</f>
        <v/>
      </c>
      <c r="C30" s="72" t="inlineStr"/>
      <c r="D30" s="72" t="n">
        <v>100</v>
      </c>
      <c r="E30" s="72" t="n">
        <v>0</v>
      </c>
      <c r="F30" s="96">
        <f>IFERROR(E30/D30,0)</f>
        <v/>
      </c>
      <c r="G30" s="72" t="n">
        <v>100</v>
      </c>
      <c r="H30" s="72" t="n">
        <v>0</v>
      </c>
      <c r="I30" s="96">
        <f>IFERROR(H30/G30,0)</f>
        <v/>
      </c>
      <c r="J30" s="96">
        <f>IFERROR((F30+I30)/2,0)</f>
        <v/>
      </c>
      <c r="K30" s="72">
        <f>IF(J30="","",IF(J30&gt;=0.8,"On Track",IF(J30&gt;=0.6,"At Risk","Off Track")))</f>
        <v/>
      </c>
    </row>
    <row r="31">
      <c r="A31" s="66">
        <f>'Employee Data'!A32</f>
        <v/>
      </c>
      <c r="B31" s="87">
        <f>'Employee Data'!G32</f>
        <v/>
      </c>
      <c r="C31" s="75" t="inlineStr"/>
      <c r="D31" s="75" t="n">
        <v>100</v>
      </c>
      <c r="E31" s="75" t="n">
        <v>0</v>
      </c>
      <c r="F31" s="97">
        <f>IFERROR(E31/D31,0)</f>
        <v/>
      </c>
      <c r="G31" s="75" t="n">
        <v>100</v>
      </c>
      <c r="H31" s="75" t="n">
        <v>0</v>
      </c>
      <c r="I31" s="97">
        <f>IFERROR(H31/G31,0)</f>
        <v/>
      </c>
      <c r="J31" s="97">
        <f>IFERROR((F31+I31)/2,0)</f>
        <v/>
      </c>
      <c r="K31" s="75">
        <f>IF(J31="","",IF(J31&gt;=0.8,"On Track",IF(J31&gt;=0.6,"At Risk","Off Track")))</f>
        <v/>
      </c>
    </row>
    <row r="32">
      <c r="A32" s="61">
        <f>'Employee Data'!A33</f>
        <v/>
      </c>
      <c r="B32" s="82">
        <f>'Employee Data'!G33</f>
        <v/>
      </c>
      <c r="C32" s="72" t="inlineStr"/>
      <c r="D32" s="72" t="n">
        <v>100</v>
      </c>
      <c r="E32" s="72" t="n">
        <v>0</v>
      </c>
      <c r="F32" s="96">
        <f>IFERROR(E32/D32,0)</f>
        <v/>
      </c>
      <c r="G32" s="72" t="n">
        <v>100</v>
      </c>
      <c r="H32" s="72" t="n">
        <v>0</v>
      </c>
      <c r="I32" s="96">
        <f>IFERROR(H32/G32,0)</f>
        <v/>
      </c>
      <c r="J32" s="96">
        <f>IFERROR((F32+I32)/2,0)</f>
        <v/>
      </c>
      <c r="K32" s="72">
        <f>IF(J32="","",IF(J32&gt;=0.8,"On Track",IF(J32&gt;=0.6,"At Risk","Off Track")))</f>
        <v/>
      </c>
    </row>
    <row r="33">
      <c r="A33" s="66">
        <f>'Employee Data'!A34</f>
        <v/>
      </c>
      <c r="B33" s="87">
        <f>'Employee Data'!G34</f>
        <v/>
      </c>
      <c r="C33" s="75" t="inlineStr"/>
      <c r="D33" s="75" t="n">
        <v>100</v>
      </c>
      <c r="E33" s="75" t="n">
        <v>0</v>
      </c>
      <c r="F33" s="97">
        <f>IFERROR(E33/D33,0)</f>
        <v/>
      </c>
      <c r="G33" s="75" t="n">
        <v>100</v>
      </c>
      <c r="H33" s="75" t="n">
        <v>0</v>
      </c>
      <c r="I33" s="97">
        <f>IFERROR(H33/G33,0)</f>
        <v/>
      </c>
      <c r="J33" s="97">
        <f>IFERROR((F33+I33)/2,0)</f>
        <v/>
      </c>
      <c r="K33" s="75">
        <f>IF(J33="","",IF(J33&gt;=0.8,"On Track",IF(J33&gt;=0.6,"At Risk","Off Track")))</f>
        <v/>
      </c>
    </row>
    <row r="34">
      <c r="A34" s="61">
        <f>'Employee Data'!A35</f>
        <v/>
      </c>
      <c r="B34" s="82">
        <f>'Employee Data'!G35</f>
        <v/>
      </c>
      <c r="C34" s="72" t="inlineStr"/>
      <c r="D34" s="72" t="n">
        <v>100</v>
      </c>
      <c r="E34" s="72" t="n">
        <v>0</v>
      </c>
      <c r="F34" s="96">
        <f>IFERROR(E34/D34,0)</f>
        <v/>
      </c>
      <c r="G34" s="72" t="n">
        <v>100</v>
      </c>
      <c r="H34" s="72" t="n">
        <v>0</v>
      </c>
      <c r="I34" s="96">
        <f>IFERROR(H34/G34,0)</f>
        <v/>
      </c>
      <c r="J34" s="96">
        <f>IFERROR((F34+I34)/2,0)</f>
        <v/>
      </c>
      <c r="K34" s="72">
        <f>IF(J34="","",IF(J34&gt;=0.8,"On Track",IF(J34&gt;=0.6,"At Risk","Off Track")))</f>
        <v/>
      </c>
    </row>
    <row r="35">
      <c r="A35" s="66">
        <f>'Employee Data'!A36</f>
        <v/>
      </c>
      <c r="B35" s="87">
        <f>'Employee Data'!G36</f>
        <v/>
      </c>
      <c r="C35" s="75" t="inlineStr"/>
      <c r="D35" s="75" t="n">
        <v>100</v>
      </c>
      <c r="E35" s="75" t="n">
        <v>0</v>
      </c>
      <c r="F35" s="97">
        <f>IFERROR(E35/D35,0)</f>
        <v/>
      </c>
      <c r="G35" s="75" t="n">
        <v>100</v>
      </c>
      <c r="H35" s="75" t="n">
        <v>0</v>
      </c>
      <c r="I35" s="97">
        <f>IFERROR(H35/G35,0)</f>
        <v/>
      </c>
      <c r="J35" s="97">
        <f>IFERROR((F35+I35)/2,0)</f>
        <v/>
      </c>
      <c r="K35" s="75">
        <f>IF(J35="","",IF(J35&gt;=0.8,"On Track",IF(J35&gt;=0.6,"At Risk","Off Track")))</f>
        <v/>
      </c>
    </row>
    <row r="36">
      <c r="A36" s="61">
        <f>'Employee Data'!A37</f>
        <v/>
      </c>
      <c r="B36" s="82">
        <f>'Employee Data'!G37</f>
        <v/>
      </c>
      <c r="C36" s="72" t="inlineStr"/>
      <c r="D36" s="72" t="n">
        <v>100</v>
      </c>
      <c r="E36" s="72" t="n">
        <v>0</v>
      </c>
      <c r="F36" s="96">
        <f>IFERROR(E36/D36,0)</f>
        <v/>
      </c>
      <c r="G36" s="72" t="n">
        <v>100</v>
      </c>
      <c r="H36" s="72" t="n">
        <v>0</v>
      </c>
      <c r="I36" s="96">
        <f>IFERROR(H36/G36,0)</f>
        <v/>
      </c>
      <c r="J36" s="96">
        <f>IFERROR((F36+I36)/2,0)</f>
        <v/>
      </c>
      <c r="K36" s="72">
        <f>IF(J36="","",IF(J36&gt;=0.8,"On Track",IF(J36&gt;=0.6,"At Risk","Off Track")))</f>
        <v/>
      </c>
    </row>
    <row r="37">
      <c r="A37" s="66">
        <f>'Employee Data'!A38</f>
        <v/>
      </c>
      <c r="B37" s="87">
        <f>'Employee Data'!G38</f>
        <v/>
      </c>
      <c r="C37" s="75" t="inlineStr"/>
      <c r="D37" s="75" t="n">
        <v>100</v>
      </c>
      <c r="E37" s="75" t="n">
        <v>0</v>
      </c>
      <c r="F37" s="97">
        <f>IFERROR(E37/D37,0)</f>
        <v/>
      </c>
      <c r="G37" s="75" t="n">
        <v>100</v>
      </c>
      <c r="H37" s="75" t="n">
        <v>0</v>
      </c>
      <c r="I37" s="97">
        <f>IFERROR(H37/G37,0)</f>
        <v/>
      </c>
      <c r="J37" s="97">
        <f>IFERROR((F37+I37)/2,0)</f>
        <v/>
      </c>
      <c r="K37" s="75">
        <f>IF(J37="","",IF(J37&gt;=0.8,"On Track",IF(J37&gt;=0.6,"At Risk","Off Track")))</f>
        <v/>
      </c>
    </row>
    <row r="38">
      <c r="A38" s="61">
        <f>'Employee Data'!A39</f>
        <v/>
      </c>
      <c r="B38" s="82">
        <f>'Employee Data'!G39</f>
        <v/>
      </c>
      <c r="C38" s="72" t="inlineStr"/>
      <c r="D38" s="72" t="n">
        <v>100</v>
      </c>
      <c r="E38" s="72" t="n">
        <v>0</v>
      </c>
      <c r="F38" s="96">
        <f>IFERROR(E38/D38,0)</f>
        <v/>
      </c>
      <c r="G38" s="72" t="n">
        <v>100</v>
      </c>
      <c r="H38" s="72" t="n">
        <v>0</v>
      </c>
      <c r="I38" s="96">
        <f>IFERROR(H38/G38,0)</f>
        <v/>
      </c>
      <c r="J38" s="96">
        <f>IFERROR((F38+I38)/2,0)</f>
        <v/>
      </c>
      <c r="K38" s="72">
        <f>IF(J38="","",IF(J38&gt;=0.8,"On Track",IF(J38&gt;=0.6,"At Risk","Off Track")))</f>
        <v/>
      </c>
    </row>
    <row r="39">
      <c r="A39" s="66">
        <f>'Employee Data'!A40</f>
        <v/>
      </c>
      <c r="B39" s="87">
        <f>'Employee Data'!G40</f>
        <v/>
      </c>
      <c r="C39" s="75" t="inlineStr"/>
      <c r="D39" s="75" t="n">
        <v>100</v>
      </c>
      <c r="E39" s="75" t="n">
        <v>0</v>
      </c>
      <c r="F39" s="97">
        <f>IFERROR(E39/D39,0)</f>
        <v/>
      </c>
      <c r="G39" s="75" t="n">
        <v>100</v>
      </c>
      <c r="H39" s="75" t="n">
        <v>0</v>
      </c>
      <c r="I39" s="97">
        <f>IFERROR(H39/G39,0)</f>
        <v/>
      </c>
      <c r="J39" s="97">
        <f>IFERROR((F39+I39)/2,0)</f>
        <v/>
      </c>
      <c r="K39" s="75">
        <f>IF(J39="","",IF(J39&gt;=0.8,"On Track",IF(J39&gt;=0.6,"At Risk","Off Track")))</f>
        <v/>
      </c>
    </row>
    <row r="40">
      <c r="A40" s="61">
        <f>'Employee Data'!A41</f>
        <v/>
      </c>
      <c r="B40" s="82">
        <f>'Employee Data'!G41</f>
        <v/>
      </c>
      <c r="C40" s="72" t="inlineStr"/>
      <c r="D40" s="72" t="n">
        <v>100</v>
      </c>
      <c r="E40" s="72" t="n">
        <v>0</v>
      </c>
      <c r="F40" s="96">
        <f>IFERROR(E40/D40,0)</f>
        <v/>
      </c>
      <c r="G40" s="72" t="n">
        <v>100</v>
      </c>
      <c r="H40" s="72" t="n">
        <v>0</v>
      </c>
      <c r="I40" s="96">
        <f>IFERROR(H40/G40,0)</f>
        <v/>
      </c>
      <c r="J40" s="96">
        <f>IFERROR((F40+I40)/2,0)</f>
        <v/>
      </c>
      <c r="K40" s="72">
        <f>IF(J40="","",IF(J40&gt;=0.8,"On Track",IF(J40&gt;=0.6,"At Risk","Off Track")))</f>
        <v/>
      </c>
    </row>
    <row r="41">
      <c r="A41" s="66">
        <f>'Employee Data'!A42</f>
        <v/>
      </c>
      <c r="B41" s="87">
        <f>'Employee Data'!G42</f>
        <v/>
      </c>
      <c r="C41" s="75" t="inlineStr"/>
      <c r="D41" s="75" t="n">
        <v>100</v>
      </c>
      <c r="E41" s="75" t="n">
        <v>0</v>
      </c>
      <c r="F41" s="97">
        <f>IFERROR(E41/D41,0)</f>
        <v/>
      </c>
      <c r="G41" s="75" t="n">
        <v>100</v>
      </c>
      <c r="H41" s="75" t="n">
        <v>0</v>
      </c>
      <c r="I41" s="97">
        <f>IFERROR(H41/G41,0)</f>
        <v/>
      </c>
      <c r="J41" s="97">
        <f>IFERROR((F41+I41)/2,0)</f>
        <v/>
      </c>
      <c r="K41" s="75">
        <f>IF(J41="","",IF(J41&gt;=0.8,"On Track",IF(J41&gt;=0.6,"At Risk","Off Track")))</f>
        <v/>
      </c>
    </row>
    <row r="42">
      <c r="A42" s="61">
        <f>'Employee Data'!A43</f>
        <v/>
      </c>
      <c r="B42" s="82">
        <f>'Employee Data'!G43</f>
        <v/>
      </c>
      <c r="C42" s="72" t="inlineStr"/>
      <c r="D42" s="72" t="n">
        <v>100</v>
      </c>
      <c r="E42" s="72" t="n">
        <v>0</v>
      </c>
      <c r="F42" s="96">
        <f>IFERROR(E42/D42,0)</f>
        <v/>
      </c>
      <c r="G42" s="72" t="n">
        <v>100</v>
      </c>
      <c r="H42" s="72" t="n">
        <v>0</v>
      </c>
      <c r="I42" s="96">
        <f>IFERROR(H42/G42,0)</f>
        <v/>
      </c>
      <c r="J42" s="96">
        <f>IFERROR((F42+I42)/2,0)</f>
        <v/>
      </c>
      <c r="K42" s="72">
        <f>IF(J42="","",IF(J42&gt;=0.8,"On Track",IF(J42&gt;=0.6,"At Risk","Off Track")))</f>
        <v/>
      </c>
    </row>
    <row r="43">
      <c r="A43" s="66">
        <f>'Employee Data'!A44</f>
        <v/>
      </c>
      <c r="B43" s="87">
        <f>'Employee Data'!G44</f>
        <v/>
      </c>
      <c r="C43" s="75" t="inlineStr"/>
      <c r="D43" s="75" t="n">
        <v>100</v>
      </c>
      <c r="E43" s="75" t="n">
        <v>0</v>
      </c>
      <c r="F43" s="97">
        <f>IFERROR(E43/D43,0)</f>
        <v/>
      </c>
      <c r="G43" s="75" t="n">
        <v>100</v>
      </c>
      <c r="H43" s="75" t="n">
        <v>0</v>
      </c>
      <c r="I43" s="97">
        <f>IFERROR(H43/G43,0)</f>
        <v/>
      </c>
      <c r="J43" s="97">
        <f>IFERROR((F43+I43)/2,0)</f>
        <v/>
      </c>
      <c r="K43" s="75">
        <f>IF(J43="","",IF(J43&gt;=0.8,"On Track",IF(J43&gt;=0.6,"At Risk","Off Track")))</f>
        <v/>
      </c>
    </row>
    <row r="44">
      <c r="A44" s="61">
        <f>'Employee Data'!A45</f>
        <v/>
      </c>
      <c r="B44" s="82">
        <f>'Employee Data'!G45</f>
        <v/>
      </c>
      <c r="C44" s="72" t="inlineStr"/>
      <c r="D44" s="72" t="n">
        <v>100</v>
      </c>
      <c r="E44" s="72" t="n">
        <v>0</v>
      </c>
      <c r="F44" s="96">
        <f>IFERROR(E44/D44,0)</f>
        <v/>
      </c>
      <c r="G44" s="72" t="n">
        <v>100</v>
      </c>
      <c r="H44" s="72" t="n">
        <v>0</v>
      </c>
      <c r="I44" s="96">
        <f>IFERROR(H44/G44,0)</f>
        <v/>
      </c>
      <c r="J44" s="96">
        <f>IFERROR((F44+I44)/2,0)</f>
        <v/>
      </c>
      <c r="K44" s="72">
        <f>IF(J44="","",IF(J44&gt;=0.8,"On Track",IF(J44&gt;=0.6,"At Risk","Off Track")))</f>
        <v/>
      </c>
    </row>
    <row r="45">
      <c r="A45" s="66">
        <f>'Employee Data'!A46</f>
        <v/>
      </c>
      <c r="B45" s="87">
        <f>'Employee Data'!G46</f>
        <v/>
      </c>
      <c r="C45" s="75" t="inlineStr"/>
      <c r="D45" s="75" t="n">
        <v>100</v>
      </c>
      <c r="E45" s="75" t="n">
        <v>0</v>
      </c>
      <c r="F45" s="97">
        <f>IFERROR(E45/D45,0)</f>
        <v/>
      </c>
      <c r="G45" s="75" t="n">
        <v>100</v>
      </c>
      <c r="H45" s="75" t="n">
        <v>0</v>
      </c>
      <c r="I45" s="97">
        <f>IFERROR(H45/G45,0)</f>
        <v/>
      </c>
      <c r="J45" s="97">
        <f>IFERROR((F45+I45)/2,0)</f>
        <v/>
      </c>
      <c r="K45" s="75">
        <f>IF(J45="","",IF(J45&gt;=0.8,"On Track",IF(J45&gt;=0.6,"At Risk","Off Track")))</f>
        <v/>
      </c>
    </row>
    <row r="46">
      <c r="A46" s="61">
        <f>'Employee Data'!A47</f>
        <v/>
      </c>
      <c r="B46" s="82">
        <f>'Employee Data'!G47</f>
        <v/>
      </c>
      <c r="C46" s="72" t="inlineStr"/>
      <c r="D46" s="72" t="n">
        <v>100</v>
      </c>
      <c r="E46" s="72" t="n">
        <v>0</v>
      </c>
      <c r="F46" s="96">
        <f>IFERROR(E46/D46,0)</f>
        <v/>
      </c>
      <c r="G46" s="72" t="n">
        <v>100</v>
      </c>
      <c r="H46" s="72" t="n">
        <v>0</v>
      </c>
      <c r="I46" s="96">
        <f>IFERROR(H46/G46,0)</f>
        <v/>
      </c>
      <c r="J46" s="96">
        <f>IFERROR((F46+I46)/2,0)</f>
        <v/>
      </c>
      <c r="K46" s="72">
        <f>IF(J46="","",IF(J46&gt;=0.8,"On Track",IF(J46&gt;=0.6,"At Risk","Off Track")))</f>
        <v/>
      </c>
    </row>
    <row r="47">
      <c r="A47" s="66">
        <f>'Employee Data'!A48</f>
        <v/>
      </c>
      <c r="B47" s="87">
        <f>'Employee Data'!G48</f>
        <v/>
      </c>
      <c r="C47" s="75" t="inlineStr"/>
      <c r="D47" s="75" t="n">
        <v>100</v>
      </c>
      <c r="E47" s="75" t="n">
        <v>0</v>
      </c>
      <c r="F47" s="97">
        <f>IFERROR(E47/D47,0)</f>
        <v/>
      </c>
      <c r="G47" s="75" t="n">
        <v>100</v>
      </c>
      <c r="H47" s="75" t="n">
        <v>0</v>
      </c>
      <c r="I47" s="97">
        <f>IFERROR(H47/G47,0)</f>
        <v/>
      </c>
      <c r="J47" s="97">
        <f>IFERROR((F47+I47)/2,0)</f>
        <v/>
      </c>
      <c r="K47" s="75">
        <f>IF(J47="","",IF(J47&gt;=0.8,"On Track",IF(J47&gt;=0.6,"At Risk","Off Track")))</f>
        <v/>
      </c>
    </row>
    <row r="48">
      <c r="A48" s="61">
        <f>'Employee Data'!A49</f>
        <v/>
      </c>
      <c r="B48" s="82">
        <f>'Employee Data'!G49</f>
        <v/>
      </c>
      <c r="C48" s="72" t="inlineStr"/>
      <c r="D48" s="72" t="n">
        <v>100</v>
      </c>
      <c r="E48" s="72" t="n">
        <v>0</v>
      </c>
      <c r="F48" s="96">
        <f>IFERROR(E48/D48,0)</f>
        <v/>
      </c>
      <c r="G48" s="72" t="n">
        <v>100</v>
      </c>
      <c r="H48" s="72" t="n">
        <v>0</v>
      </c>
      <c r="I48" s="96">
        <f>IFERROR(H48/G48,0)</f>
        <v/>
      </c>
      <c r="J48" s="96">
        <f>IFERROR((F48+I48)/2,0)</f>
        <v/>
      </c>
      <c r="K48" s="72">
        <f>IF(J48="","",IF(J48&gt;=0.8,"On Track",IF(J48&gt;=0.6,"At Risk","Off Track")))</f>
        <v/>
      </c>
    </row>
    <row r="49">
      <c r="A49" s="66">
        <f>'Employee Data'!A50</f>
        <v/>
      </c>
      <c r="B49" s="87">
        <f>'Employee Data'!G50</f>
        <v/>
      </c>
      <c r="C49" s="75" t="inlineStr"/>
      <c r="D49" s="75" t="n">
        <v>100</v>
      </c>
      <c r="E49" s="75" t="n">
        <v>0</v>
      </c>
      <c r="F49" s="97">
        <f>IFERROR(E49/D49,0)</f>
        <v/>
      </c>
      <c r="G49" s="75" t="n">
        <v>100</v>
      </c>
      <c r="H49" s="75" t="n">
        <v>0</v>
      </c>
      <c r="I49" s="97">
        <f>IFERROR(H49/G49,0)</f>
        <v/>
      </c>
      <c r="J49" s="97">
        <f>IFERROR((F49+I49)/2,0)</f>
        <v/>
      </c>
      <c r="K49" s="75">
        <f>IF(J49="","",IF(J49&gt;=0.8,"On Track",IF(J49&gt;=0.6,"At Risk","Off Track")))</f>
        <v/>
      </c>
    </row>
    <row r="50">
      <c r="A50" s="61">
        <f>'Employee Data'!A51</f>
        <v/>
      </c>
      <c r="B50" s="82">
        <f>'Employee Data'!G51</f>
        <v/>
      </c>
      <c r="C50" s="72" t="inlineStr"/>
      <c r="D50" s="72" t="n">
        <v>100</v>
      </c>
      <c r="E50" s="72" t="n">
        <v>0</v>
      </c>
      <c r="F50" s="96">
        <f>IFERROR(E50/D50,0)</f>
        <v/>
      </c>
      <c r="G50" s="72" t="n">
        <v>100</v>
      </c>
      <c r="H50" s="72" t="n">
        <v>0</v>
      </c>
      <c r="I50" s="96">
        <f>IFERROR(H50/G50,0)</f>
        <v/>
      </c>
      <c r="J50" s="96">
        <f>IFERROR((F50+I50)/2,0)</f>
        <v/>
      </c>
      <c r="K50" s="72">
        <f>IF(J50="","",IF(J50&gt;=0.8,"On Track",IF(J50&gt;=0.6,"At Risk","Off Track")))</f>
        <v/>
      </c>
    </row>
    <row r="51">
      <c r="A51" s="66">
        <f>'Employee Data'!A52</f>
        <v/>
      </c>
      <c r="B51" s="87">
        <f>'Employee Data'!G52</f>
        <v/>
      </c>
      <c r="C51" s="75" t="inlineStr"/>
      <c r="D51" s="75" t="n">
        <v>100</v>
      </c>
      <c r="E51" s="75" t="n">
        <v>0</v>
      </c>
      <c r="F51" s="97">
        <f>IFERROR(E51/D51,0)</f>
        <v/>
      </c>
      <c r="G51" s="75" t="n">
        <v>100</v>
      </c>
      <c r="H51" s="75" t="n">
        <v>0</v>
      </c>
      <c r="I51" s="97">
        <f>IFERROR(H51/G51,0)</f>
        <v/>
      </c>
      <c r="J51" s="97">
        <f>IFERROR((F51+I51)/2,0)</f>
        <v/>
      </c>
      <c r="K51" s="75">
        <f>IF(J51="","",IF(J51&gt;=0.8,"On Track",IF(J51&gt;=0.6,"At Risk","Off Track")))</f>
        <v/>
      </c>
    </row>
    <row r="52">
      <c r="A52" s="61">
        <f>'Employee Data'!A53</f>
        <v/>
      </c>
      <c r="B52" s="82">
        <f>'Employee Data'!G53</f>
        <v/>
      </c>
      <c r="C52" s="72" t="inlineStr"/>
      <c r="D52" s="72" t="n">
        <v>100</v>
      </c>
      <c r="E52" s="72" t="n">
        <v>0</v>
      </c>
      <c r="F52" s="96">
        <f>IFERROR(E52/D52,0)</f>
        <v/>
      </c>
      <c r="G52" s="72" t="n">
        <v>100</v>
      </c>
      <c r="H52" s="72" t="n">
        <v>0</v>
      </c>
      <c r="I52" s="96">
        <f>IFERROR(H52/G52,0)</f>
        <v/>
      </c>
      <c r="J52" s="96">
        <f>IFERROR((F52+I52)/2,0)</f>
        <v/>
      </c>
      <c r="K52" s="72">
        <f>IF(J52="","",IF(J52&gt;=0.8,"On Track",IF(J52&gt;=0.6,"At Risk","Off Track")))</f>
        <v/>
      </c>
    </row>
    <row r="53">
      <c r="A53" s="66">
        <f>'Employee Data'!A54</f>
        <v/>
      </c>
      <c r="B53" s="87">
        <f>'Employee Data'!G54</f>
        <v/>
      </c>
      <c r="C53" s="75" t="inlineStr"/>
      <c r="D53" s="75" t="n">
        <v>100</v>
      </c>
      <c r="E53" s="75" t="n">
        <v>0</v>
      </c>
      <c r="F53" s="97">
        <f>IFERROR(E53/D53,0)</f>
        <v/>
      </c>
      <c r="G53" s="75" t="n">
        <v>100</v>
      </c>
      <c r="H53" s="75" t="n">
        <v>0</v>
      </c>
      <c r="I53" s="97">
        <f>IFERROR(H53/G53,0)</f>
        <v/>
      </c>
      <c r="J53" s="97">
        <f>IFERROR((F53+I53)/2,0)</f>
        <v/>
      </c>
      <c r="K53" s="75">
        <f>IF(J53="","",IF(J53&gt;=0.8,"On Track",IF(J53&gt;=0.6,"At Risk","Off Track")))</f>
        <v/>
      </c>
    </row>
    <row r="54">
      <c r="A54" s="61">
        <f>'Employee Data'!A55</f>
        <v/>
      </c>
      <c r="B54" s="82">
        <f>'Employee Data'!G55</f>
        <v/>
      </c>
      <c r="C54" s="72" t="inlineStr"/>
      <c r="D54" s="72" t="n">
        <v>100</v>
      </c>
      <c r="E54" s="72" t="n">
        <v>0</v>
      </c>
      <c r="F54" s="96">
        <f>IFERROR(E54/D54,0)</f>
        <v/>
      </c>
      <c r="G54" s="72" t="n">
        <v>100</v>
      </c>
      <c r="H54" s="72" t="n">
        <v>0</v>
      </c>
      <c r="I54" s="96">
        <f>IFERROR(H54/G54,0)</f>
        <v/>
      </c>
      <c r="J54" s="96">
        <f>IFERROR((F54+I54)/2,0)</f>
        <v/>
      </c>
      <c r="K54" s="72">
        <f>IF(J54="","",IF(J54&gt;=0.8,"On Track",IF(J54&gt;=0.6,"At Risk","Off Track")))</f>
        <v/>
      </c>
    </row>
    <row r="55">
      <c r="A55" s="66">
        <f>'Employee Data'!A56</f>
        <v/>
      </c>
      <c r="B55" s="87">
        <f>'Employee Data'!G56</f>
        <v/>
      </c>
      <c r="C55" s="75" t="inlineStr"/>
      <c r="D55" s="75" t="n">
        <v>100</v>
      </c>
      <c r="E55" s="75" t="n">
        <v>0</v>
      </c>
      <c r="F55" s="97">
        <f>IFERROR(E55/D55,0)</f>
        <v/>
      </c>
      <c r="G55" s="75" t="n">
        <v>100</v>
      </c>
      <c r="H55" s="75" t="n">
        <v>0</v>
      </c>
      <c r="I55" s="97">
        <f>IFERROR(H55/G55,0)</f>
        <v/>
      </c>
      <c r="J55" s="97">
        <f>IFERROR((F55+I55)/2,0)</f>
        <v/>
      </c>
      <c r="K55" s="75">
        <f>IF(J55="","",IF(J55&gt;=0.8,"On Track",IF(J55&gt;=0.6,"At Risk","Off Track")))</f>
        <v/>
      </c>
    </row>
  </sheetData>
  <mergeCells count="3">
    <mergeCell ref="A2:K2"/>
    <mergeCell ref="A1:K1"/>
    <mergeCell ref="A3:K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EF4444"/>
    <outlinePr summaryBelow="1" summaryRight="1"/>
    <pageSetUpPr/>
  </sheetPr>
  <dimension ref="A1:K3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8" customWidth="1" min="3" max="3"/>
    <col width="16" customWidth="1" min="4" max="4"/>
    <col width="16" customWidth="1" min="5" max="5"/>
    <col width="14" customWidth="1" min="6" max="6"/>
    <col width="22" customWidth="1" min="7" max="7"/>
    <col width="18" customWidth="1" min="8" max="8"/>
    <col width="18" customWidth="1" min="9" max="9"/>
    <col width="18" customWidth="1" min="10" max="10"/>
    <col width="14" customWidth="1" min="11" max="11"/>
  </cols>
  <sheetData>
    <row r="1">
      <c r="A1" s="17" t="inlineStr">
        <is>
          <t>VIRORAH PMS — PIP Tracker</t>
        </is>
      </c>
    </row>
    <row r="2">
      <c r="A2" s="13" t="inlineStr">
        <is>
          <t>Performance Improvement Plan tracker. Track status, milestones and outcomes.</t>
        </is>
      </c>
    </row>
    <row r="3">
      <c r="A3" s="3" t="n"/>
    </row>
    <row r="5" ht="24" customHeight="1">
      <c r="A5" s="15" t="inlineStr">
        <is>
          <t>Employee</t>
        </is>
      </c>
      <c r="B5" s="15" t="inlineStr">
        <is>
          <t>Dept</t>
        </is>
      </c>
      <c r="C5" s="15" t="inlineStr">
        <is>
          <t>Manager</t>
        </is>
      </c>
      <c r="D5" s="15" t="inlineStr">
        <is>
          <t>PIP Start Date</t>
        </is>
      </c>
      <c r="E5" s="15" t="inlineStr">
        <is>
          <t>PIP End Date</t>
        </is>
      </c>
      <c r="F5" s="15" t="inlineStr">
        <is>
          <t>Duration (Days)</t>
        </is>
      </c>
      <c r="G5" s="15" t="inlineStr">
        <is>
          <t>Root Cause</t>
        </is>
      </c>
      <c r="H5" s="15" t="inlineStr">
        <is>
          <t>Week 2 Review</t>
        </is>
      </c>
      <c r="I5" s="15" t="inlineStr">
        <is>
          <t>Week 4 Review</t>
        </is>
      </c>
      <c r="J5" s="15" t="inlineStr">
        <is>
          <t>Final Outcome</t>
        </is>
      </c>
      <c r="K5" s="15" t="inlineStr">
        <is>
          <t>Status</t>
        </is>
      </c>
    </row>
    <row r="6" ht="20" customHeight="1">
      <c r="A6" s="63" t="inlineStr">
        <is>
          <t>John Smith</t>
        </is>
      </c>
      <c r="B6" s="63" t="inlineStr">
        <is>
          <t>Sales</t>
        </is>
      </c>
      <c r="C6" s="63" t="inlineStr">
        <is>
          <t>Jane Manager</t>
        </is>
      </c>
      <c r="D6" s="63" t="inlineStr">
        <is>
          <t>2026-01-15</t>
        </is>
      </c>
      <c r="E6" s="63" t="inlineStr">
        <is>
          <t>2026-04-15</t>
        </is>
      </c>
      <c r="F6" s="98">
        <f>IF(AND(D6&lt;&gt;"",E6&lt;&gt;""),E6-D6,"")</f>
        <v/>
      </c>
      <c r="G6" s="63" t="inlineStr">
        <is>
          <t>Low activity</t>
        </is>
      </c>
      <c r="H6" s="63" t="inlineStr">
        <is>
          <t>Improving</t>
        </is>
      </c>
      <c r="I6" s="63" t="inlineStr">
        <is>
          <t>On track</t>
        </is>
      </c>
      <c r="J6" s="63" t="inlineStr"/>
      <c r="K6" s="63" t="inlineStr">
        <is>
          <t>Active</t>
        </is>
      </c>
    </row>
    <row r="7" ht="20" customHeight="1">
      <c r="A7" s="68" t="inlineStr">
        <is>
          <t>Alex Brown</t>
        </is>
      </c>
      <c r="B7" s="68" t="inlineStr">
        <is>
          <t>Operations</t>
        </is>
      </c>
      <c r="C7" s="68" t="inlineStr">
        <is>
          <t>Bob Lead</t>
        </is>
      </c>
      <c r="D7" s="68" t="inlineStr">
        <is>
          <t>2026-02-01</t>
        </is>
      </c>
      <c r="E7" s="68" t="inlineStr">
        <is>
          <t>2026-05-01</t>
        </is>
      </c>
      <c r="F7" s="99">
        <f>IF(AND(D7&lt;&gt;"",E7&lt;&gt;""),E7-D7,"")</f>
        <v/>
      </c>
      <c r="G7" s="68" t="inlineStr">
        <is>
          <t>Process gaps</t>
        </is>
      </c>
      <c r="H7" s="68" t="inlineStr">
        <is>
          <t>Improving</t>
        </is>
      </c>
      <c r="I7" s="68" t="inlineStr">
        <is>
          <t>Met targets</t>
        </is>
      </c>
      <c r="J7" s="68" t="inlineStr">
        <is>
          <t>Successful</t>
        </is>
      </c>
      <c r="K7" s="68" t="inlineStr">
        <is>
          <t>Closed</t>
        </is>
      </c>
    </row>
    <row r="8" ht="18" customHeight="1">
      <c r="A8" s="100" t="n"/>
      <c r="B8" s="100" t="n"/>
      <c r="C8" s="100" t="n"/>
      <c r="D8" s="100" t="n"/>
      <c r="E8" s="100" t="n"/>
      <c r="F8" s="101">
        <f>IF(AND(D8&lt;&gt;"",E8&lt;&gt;""),E8-D8,"")</f>
        <v/>
      </c>
      <c r="G8" s="100" t="n"/>
      <c r="H8" s="100" t="n"/>
      <c r="I8" s="100" t="n"/>
      <c r="J8" s="100" t="n"/>
      <c r="K8" s="100" t="n"/>
    </row>
    <row r="9" ht="18" customHeight="1">
      <c r="A9" s="102" t="n"/>
      <c r="B9" s="102" t="n"/>
      <c r="C9" s="102" t="n"/>
      <c r="D9" s="102" t="n"/>
      <c r="E9" s="102" t="n"/>
      <c r="F9" s="103">
        <f>IF(AND(D9&lt;&gt;"",E9&lt;&gt;""),E9-D9,"")</f>
        <v/>
      </c>
      <c r="G9" s="102" t="n"/>
      <c r="H9" s="102" t="n"/>
      <c r="I9" s="102" t="n"/>
      <c r="J9" s="102" t="n"/>
      <c r="K9" s="102" t="n"/>
    </row>
    <row r="10" ht="18" customHeight="1">
      <c r="A10" s="100" t="n"/>
      <c r="B10" s="100" t="n"/>
      <c r="C10" s="100" t="n"/>
      <c r="D10" s="100" t="n"/>
      <c r="E10" s="100" t="n"/>
      <c r="F10" s="101">
        <f>IF(AND(D10&lt;&gt;"",E10&lt;&gt;""),E10-D10,"")</f>
        <v/>
      </c>
      <c r="G10" s="100" t="n"/>
      <c r="H10" s="100" t="n"/>
      <c r="I10" s="100" t="n"/>
      <c r="J10" s="100" t="n"/>
      <c r="K10" s="100" t="n"/>
    </row>
    <row r="11" ht="18" customHeight="1">
      <c r="A11" s="102" t="n"/>
      <c r="B11" s="102" t="n"/>
      <c r="C11" s="102" t="n"/>
      <c r="D11" s="102" t="n"/>
      <c r="E11" s="102" t="n"/>
      <c r="F11" s="103">
        <f>IF(AND(D11&lt;&gt;"",E11&lt;&gt;""),E11-D11,"")</f>
        <v/>
      </c>
      <c r="G11" s="102" t="n"/>
      <c r="H11" s="102" t="n"/>
      <c r="I11" s="102" t="n"/>
      <c r="J11" s="102" t="n"/>
      <c r="K11" s="102" t="n"/>
    </row>
    <row r="12" ht="18" customHeight="1">
      <c r="A12" s="100" t="n"/>
      <c r="B12" s="100" t="n"/>
      <c r="C12" s="100" t="n"/>
      <c r="D12" s="100" t="n"/>
      <c r="E12" s="100" t="n"/>
      <c r="F12" s="101">
        <f>IF(AND(D12&lt;&gt;"",E12&lt;&gt;""),E12-D12,"")</f>
        <v/>
      </c>
      <c r="G12" s="100" t="n"/>
      <c r="H12" s="100" t="n"/>
      <c r="I12" s="100" t="n"/>
      <c r="J12" s="100" t="n"/>
      <c r="K12" s="100" t="n"/>
    </row>
    <row r="13" ht="18" customHeight="1">
      <c r="A13" s="102" t="n"/>
      <c r="B13" s="102" t="n"/>
      <c r="C13" s="102" t="n"/>
      <c r="D13" s="102" t="n"/>
      <c r="E13" s="102" t="n"/>
      <c r="F13" s="103">
        <f>IF(AND(D13&lt;&gt;"",E13&lt;&gt;""),E13-D13,"")</f>
        <v/>
      </c>
      <c r="G13" s="102" t="n"/>
      <c r="H13" s="102" t="n"/>
      <c r="I13" s="102" t="n"/>
      <c r="J13" s="102" t="n"/>
      <c r="K13" s="102" t="n"/>
    </row>
    <row r="14" ht="18" customHeight="1">
      <c r="A14" s="100" t="n"/>
      <c r="B14" s="100" t="n"/>
      <c r="C14" s="100" t="n"/>
      <c r="D14" s="100" t="n"/>
      <c r="E14" s="100" t="n"/>
      <c r="F14" s="101">
        <f>IF(AND(D14&lt;&gt;"",E14&lt;&gt;""),E14-D14,"")</f>
        <v/>
      </c>
      <c r="G14" s="100" t="n"/>
      <c r="H14" s="100" t="n"/>
      <c r="I14" s="100" t="n"/>
      <c r="J14" s="100" t="n"/>
      <c r="K14" s="100" t="n"/>
    </row>
    <row r="15" ht="18" customHeight="1">
      <c r="A15" s="102" t="n"/>
      <c r="B15" s="102" t="n"/>
      <c r="C15" s="102" t="n"/>
      <c r="D15" s="102" t="n"/>
      <c r="E15" s="102" t="n"/>
      <c r="F15" s="103">
        <f>IF(AND(D15&lt;&gt;"",E15&lt;&gt;""),E15-D15,"")</f>
        <v/>
      </c>
      <c r="G15" s="102" t="n"/>
      <c r="H15" s="102" t="n"/>
      <c r="I15" s="102" t="n"/>
      <c r="J15" s="102" t="n"/>
      <c r="K15" s="102" t="n"/>
    </row>
    <row r="16" ht="18" customHeight="1">
      <c r="A16" s="100" t="n"/>
      <c r="B16" s="100" t="n"/>
      <c r="C16" s="100" t="n"/>
      <c r="D16" s="100" t="n"/>
      <c r="E16" s="100" t="n"/>
      <c r="F16" s="101">
        <f>IF(AND(D16&lt;&gt;"",E16&lt;&gt;""),E16-D16,"")</f>
        <v/>
      </c>
      <c r="G16" s="100" t="n"/>
      <c r="H16" s="100" t="n"/>
      <c r="I16" s="100" t="n"/>
      <c r="J16" s="100" t="n"/>
      <c r="K16" s="100" t="n"/>
    </row>
    <row r="17" ht="18" customHeight="1">
      <c r="A17" s="102" t="n"/>
      <c r="B17" s="102" t="n"/>
      <c r="C17" s="102" t="n"/>
      <c r="D17" s="102" t="n"/>
      <c r="E17" s="102" t="n"/>
      <c r="F17" s="103">
        <f>IF(AND(D17&lt;&gt;"",E17&lt;&gt;""),E17-D17,"")</f>
        <v/>
      </c>
      <c r="G17" s="102" t="n"/>
      <c r="H17" s="102" t="n"/>
      <c r="I17" s="102" t="n"/>
      <c r="J17" s="102" t="n"/>
      <c r="K17" s="102" t="n"/>
    </row>
    <row r="18" ht="18" customHeight="1">
      <c r="A18" s="100" t="n"/>
      <c r="B18" s="100" t="n"/>
      <c r="C18" s="100" t="n"/>
      <c r="D18" s="100" t="n"/>
      <c r="E18" s="100" t="n"/>
      <c r="F18" s="101">
        <f>IF(AND(D18&lt;&gt;"",E18&lt;&gt;""),E18-D18,"")</f>
        <v/>
      </c>
      <c r="G18" s="100" t="n"/>
      <c r="H18" s="100" t="n"/>
      <c r="I18" s="100" t="n"/>
      <c r="J18" s="100" t="n"/>
      <c r="K18" s="100" t="n"/>
    </row>
    <row r="19" ht="18" customHeight="1">
      <c r="A19" s="102" t="n"/>
      <c r="B19" s="102" t="n"/>
      <c r="C19" s="102" t="n"/>
      <c r="D19" s="102" t="n"/>
      <c r="E19" s="102" t="n"/>
      <c r="F19" s="103">
        <f>IF(AND(D19&lt;&gt;"",E19&lt;&gt;""),E19-D19,"")</f>
        <v/>
      </c>
      <c r="G19" s="102" t="n"/>
      <c r="H19" s="102" t="n"/>
      <c r="I19" s="102" t="n"/>
      <c r="J19" s="102" t="n"/>
      <c r="K19" s="102" t="n"/>
    </row>
    <row r="20" ht="18" customHeight="1">
      <c r="A20" s="100" t="n"/>
      <c r="B20" s="100" t="n"/>
      <c r="C20" s="100" t="n"/>
      <c r="D20" s="100" t="n"/>
      <c r="E20" s="100" t="n"/>
      <c r="F20" s="101">
        <f>IF(AND(D20&lt;&gt;"",E20&lt;&gt;""),E20-D20,"")</f>
        <v/>
      </c>
      <c r="G20" s="100" t="n"/>
      <c r="H20" s="100" t="n"/>
      <c r="I20" s="100" t="n"/>
      <c r="J20" s="100" t="n"/>
      <c r="K20" s="100" t="n"/>
    </row>
    <row r="21" ht="18" customHeight="1">
      <c r="A21" s="102" t="n"/>
      <c r="B21" s="102" t="n"/>
      <c r="C21" s="102" t="n"/>
      <c r="D21" s="102" t="n"/>
      <c r="E21" s="102" t="n"/>
      <c r="F21" s="103">
        <f>IF(AND(D21&lt;&gt;"",E21&lt;&gt;""),E21-D21,"")</f>
        <v/>
      </c>
      <c r="G21" s="102" t="n"/>
      <c r="H21" s="102" t="n"/>
      <c r="I21" s="102" t="n"/>
      <c r="J21" s="102" t="n"/>
      <c r="K21" s="102" t="n"/>
    </row>
    <row r="22" ht="18" customHeight="1">
      <c r="A22" s="100" t="n"/>
      <c r="B22" s="100" t="n"/>
      <c r="C22" s="100" t="n"/>
      <c r="D22" s="100" t="n"/>
      <c r="E22" s="100" t="n"/>
      <c r="F22" s="101">
        <f>IF(AND(D22&lt;&gt;"",E22&lt;&gt;""),E22-D22,"")</f>
        <v/>
      </c>
      <c r="G22" s="100" t="n"/>
      <c r="H22" s="100" t="n"/>
      <c r="I22" s="100" t="n"/>
      <c r="J22" s="100" t="n"/>
      <c r="K22" s="100" t="n"/>
    </row>
    <row r="23" ht="18" customHeight="1">
      <c r="A23" s="102" t="n"/>
      <c r="B23" s="102" t="n"/>
      <c r="C23" s="102" t="n"/>
      <c r="D23" s="102" t="n"/>
      <c r="E23" s="102" t="n"/>
      <c r="F23" s="103">
        <f>IF(AND(D23&lt;&gt;"",E23&lt;&gt;""),E23-D23,"")</f>
        <v/>
      </c>
      <c r="G23" s="102" t="n"/>
      <c r="H23" s="102" t="n"/>
      <c r="I23" s="102" t="n"/>
      <c r="J23" s="102" t="n"/>
      <c r="K23" s="102" t="n"/>
    </row>
    <row r="24" ht="18" customHeight="1">
      <c r="A24" s="100" t="n"/>
      <c r="B24" s="100" t="n"/>
      <c r="C24" s="100" t="n"/>
      <c r="D24" s="100" t="n"/>
      <c r="E24" s="100" t="n"/>
      <c r="F24" s="101">
        <f>IF(AND(D24&lt;&gt;"",E24&lt;&gt;""),E24-D24,"")</f>
        <v/>
      </c>
      <c r="G24" s="100" t="n"/>
      <c r="H24" s="100" t="n"/>
      <c r="I24" s="100" t="n"/>
      <c r="J24" s="100" t="n"/>
      <c r="K24" s="100" t="n"/>
    </row>
    <row r="25" ht="18" customHeight="1">
      <c r="A25" s="102" t="n"/>
      <c r="B25" s="102" t="n"/>
      <c r="C25" s="102" t="n"/>
      <c r="D25" s="102" t="n"/>
      <c r="E25" s="102" t="n"/>
      <c r="F25" s="103">
        <f>IF(AND(D25&lt;&gt;"",E25&lt;&gt;""),E25-D25,"")</f>
        <v/>
      </c>
      <c r="G25" s="102" t="n"/>
      <c r="H25" s="102" t="n"/>
      <c r="I25" s="102" t="n"/>
      <c r="J25" s="102" t="n"/>
      <c r="K25" s="102" t="n"/>
    </row>
    <row r="26" ht="18" customHeight="1">
      <c r="A26" s="100" t="n"/>
      <c r="B26" s="100" t="n"/>
      <c r="C26" s="100" t="n"/>
      <c r="D26" s="100" t="n"/>
      <c r="E26" s="100" t="n"/>
      <c r="F26" s="101">
        <f>IF(AND(D26&lt;&gt;"",E26&lt;&gt;""),E26-D26,"")</f>
        <v/>
      </c>
      <c r="G26" s="100" t="n"/>
      <c r="H26" s="100" t="n"/>
      <c r="I26" s="100" t="n"/>
      <c r="J26" s="100" t="n"/>
      <c r="K26" s="100" t="n"/>
    </row>
    <row r="27" ht="18" customHeight="1">
      <c r="A27" s="102" t="n"/>
      <c r="B27" s="102" t="n"/>
      <c r="C27" s="102" t="n"/>
      <c r="D27" s="102" t="n"/>
      <c r="E27" s="102" t="n"/>
      <c r="F27" s="103">
        <f>IF(AND(D27&lt;&gt;"",E27&lt;&gt;""),E27-D27,"")</f>
        <v/>
      </c>
      <c r="G27" s="102" t="n"/>
      <c r="H27" s="102" t="n"/>
      <c r="I27" s="102" t="n"/>
      <c r="J27" s="102" t="n"/>
      <c r="K27" s="102" t="n"/>
    </row>
    <row r="28" ht="18" customHeight="1">
      <c r="A28" s="100" t="n"/>
      <c r="B28" s="100" t="n"/>
      <c r="C28" s="100" t="n"/>
      <c r="D28" s="100" t="n"/>
      <c r="E28" s="100" t="n"/>
      <c r="F28" s="101">
        <f>IF(AND(D28&lt;&gt;"",E28&lt;&gt;""),E28-D28,"")</f>
        <v/>
      </c>
      <c r="G28" s="100" t="n"/>
      <c r="H28" s="100" t="n"/>
      <c r="I28" s="100" t="n"/>
      <c r="J28" s="100" t="n"/>
      <c r="K28" s="100" t="n"/>
    </row>
    <row r="29" ht="18" customHeight="1">
      <c r="A29" s="102" t="n"/>
      <c r="B29" s="102" t="n"/>
      <c r="C29" s="102" t="n"/>
      <c r="D29" s="102" t="n"/>
      <c r="E29" s="102" t="n"/>
      <c r="F29" s="103">
        <f>IF(AND(D29&lt;&gt;"",E29&lt;&gt;""),E29-D29,"")</f>
        <v/>
      </c>
      <c r="G29" s="102" t="n"/>
      <c r="H29" s="102" t="n"/>
      <c r="I29" s="102" t="n"/>
      <c r="J29" s="102" t="n"/>
      <c r="K29" s="102" t="n"/>
    </row>
    <row r="30" ht="18" customHeight="1">
      <c r="A30" s="100" t="n"/>
      <c r="B30" s="100" t="n"/>
      <c r="C30" s="100" t="n"/>
      <c r="D30" s="100" t="n"/>
      <c r="E30" s="100" t="n"/>
      <c r="F30" s="101">
        <f>IF(AND(D30&lt;&gt;"",E30&lt;&gt;""),E30-D30,"")</f>
        <v/>
      </c>
      <c r="G30" s="100" t="n"/>
      <c r="H30" s="100" t="n"/>
      <c r="I30" s="100" t="n"/>
      <c r="J30" s="100" t="n"/>
      <c r="K30" s="100" t="n"/>
    </row>
    <row r="31" ht="18" customHeight="1">
      <c r="A31" s="102" t="n"/>
      <c r="B31" s="102" t="n"/>
      <c r="C31" s="102" t="n"/>
      <c r="D31" s="102" t="n"/>
      <c r="E31" s="102" t="n"/>
      <c r="F31" s="103">
        <f>IF(AND(D31&lt;&gt;"",E31&lt;&gt;""),E31-D31,"")</f>
        <v/>
      </c>
      <c r="G31" s="102" t="n"/>
      <c r="H31" s="102" t="n"/>
      <c r="I31" s="102" t="n"/>
      <c r="J31" s="102" t="n"/>
      <c r="K31" s="102" t="n"/>
    </row>
    <row r="32" ht="18" customHeight="1">
      <c r="A32" s="100" t="n"/>
      <c r="B32" s="100" t="n"/>
      <c r="C32" s="100" t="n"/>
      <c r="D32" s="100" t="n"/>
      <c r="E32" s="100" t="n"/>
      <c r="F32" s="101">
        <f>IF(AND(D32&lt;&gt;"",E32&lt;&gt;""),E32-D32,"")</f>
        <v/>
      </c>
      <c r="G32" s="100" t="n"/>
      <c r="H32" s="100" t="n"/>
      <c r="I32" s="100" t="n"/>
      <c r="J32" s="100" t="n"/>
      <c r="K32" s="100" t="n"/>
    </row>
    <row r="33" ht="18" customHeight="1">
      <c r="A33" s="102" t="n"/>
      <c r="B33" s="102" t="n"/>
      <c r="C33" s="102" t="n"/>
      <c r="D33" s="102" t="n"/>
      <c r="E33" s="102" t="n"/>
      <c r="F33" s="103">
        <f>IF(AND(D33&lt;&gt;"",E33&lt;&gt;""),E33-D33,"")</f>
        <v/>
      </c>
      <c r="G33" s="102" t="n"/>
      <c r="H33" s="102" t="n"/>
      <c r="I33" s="102" t="n"/>
      <c r="J33" s="102" t="n"/>
      <c r="K33" s="102" t="n"/>
    </row>
    <row r="34" ht="18" customHeight="1">
      <c r="A34" s="100" t="n"/>
      <c r="B34" s="100" t="n"/>
      <c r="C34" s="100" t="n"/>
      <c r="D34" s="100" t="n"/>
      <c r="E34" s="100" t="n"/>
      <c r="F34" s="101">
        <f>IF(AND(D34&lt;&gt;"",E34&lt;&gt;""),E34-D34,"")</f>
        <v/>
      </c>
      <c r="G34" s="100" t="n"/>
      <c r="H34" s="100" t="n"/>
      <c r="I34" s="100" t="n"/>
      <c r="J34" s="100" t="n"/>
      <c r="K34" s="100" t="n"/>
    </row>
    <row r="35" ht="18" customHeight="1">
      <c r="A35" s="102" t="n"/>
      <c r="B35" s="102" t="n"/>
      <c r="C35" s="102" t="n"/>
      <c r="D35" s="102" t="n"/>
      <c r="E35" s="102" t="n"/>
      <c r="F35" s="103">
        <f>IF(AND(D35&lt;&gt;"",E35&lt;&gt;""),E35-D35,"")</f>
        <v/>
      </c>
      <c r="G35" s="102" t="n"/>
      <c r="H35" s="102" t="n"/>
      <c r="I35" s="102" t="n"/>
      <c r="J35" s="102" t="n"/>
      <c r="K35" s="102" t="n"/>
    </row>
  </sheetData>
  <mergeCells count="3">
    <mergeCell ref="A2:K2"/>
    <mergeCell ref="A1:K1"/>
    <mergeCell ref="A3:K3"/>
  </mergeCells>
  <dataValidations count="1">
    <dataValidation sqref="K6:K50" showDropDown="0" showInputMessage="0" showErrorMessage="0" allowBlank="0" type="list">
      <formula1>"Active,Closed,Extended,Terminated"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6366F1"/>
    <outlinePr summaryBelow="1" summaryRight="1"/>
    <pageSetUpPr/>
  </sheetPr>
  <dimension ref="A1:I1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0" customWidth="1" min="3" max="3"/>
    <col width="10" customWidth="1" min="4" max="4"/>
    <col width="22" customWidth="1" min="5" max="5"/>
    <col width="12" customWidth="1" min="6" max="6"/>
    <col width="12" customWidth="1" min="7" max="7"/>
    <col width="14" customWidth="1" min="8" max="8"/>
    <col width="16" customWidth="1" min="9" max="9"/>
  </cols>
  <sheetData>
    <row r="1">
      <c r="A1" s="17" t="inlineStr">
        <is>
          <t>VIRORAH PMS — Balanced Scorecard</t>
        </is>
      </c>
    </row>
    <row r="2">
      <c r="A2" s="13" t="inlineStr">
        <is>
          <t>4-perspective BSC. Set weights and scores in yellow cells. Auto-calculates weighted total.</t>
        </is>
      </c>
    </row>
    <row r="3">
      <c r="A3" s="3" t="n"/>
    </row>
    <row r="5" ht="24" customHeight="1">
      <c r="A5" s="15" t="inlineStr">
        <is>
          <t>Perspective</t>
        </is>
      </c>
      <c r="B5" s="15" t="inlineStr">
        <is>
          <t>Focus Areas</t>
        </is>
      </c>
      <c r="C5" s="15" t="inlineStr">
        <is>
          <t>Weight</t>
        </is>
      </c>
      <c r="D5" s="15" t="inlineStr">
        <is>
          <t>Objective</t>
        </is>
      </c>
      <c r="E5" s="15" t="inlineStr">
        <is>
          <t>KPI</t>
        </is>
      </c>
      <c r="F5" s="15" t="inlineStr">
        <is>
          <t>Target</t>
        </is>
      </c>
      <c r="G5" s="15" t="inlineStr">
        <is>
          <t>Actual</t>
        </is>
      </c>
      <c r="H5" s="15" t="inlineStr">
        <is>
          <t>Score (0-10)</t>
        </is>
      </c>
      <c r="I5" s="15" t="inlineStr">
        <is>
          <t>Weighted Score</t>
        </is>
      </c>
    </row>
    <row r="6" ht="22" customHeight="1">
      <c r="A6" s="104" t="inlineStr">
        <is>
          <t>Financial</t>
        </is>
      </c>
      <c r="B6" s="105" t="inlineStr">
        <is>
          <t>Revenue growth, cost management, EBITDA</t>
        </is>
      </c>
      <c r="C6" s="106" t="n">
        <v>0.25</v>
      </c>
      <c r="D6" s="107" t="inlineStr">
        <is>
          <t>KPI 1</t>
        </is>
      </c>
      <c r="E6" s="107" t="inlineStr"/>
      <c r="F6" s="107" t="n">
        <v>100</v>
      </c>
      <c r="G6" s="107" t="n">
        <v>0</v>
      </c>
      <c r="H6" s="108">
        <f>IFERROR(MIN(G6/F6*10,10),0)</f>
        <v/>
      </c>
      <c r="I6" s="109">
        <f>H6*C6/3</f>
        <v/>
      </c>
    </row>
    <row r="7" ht="22" customHeight="1">
      <c r="A7" s="104" t="n"/>
      <c r="B7" s="105" t="n"/>
      <c r="C7" s="107" t="n"/>
      <c r="D7" s="107" t="inlineStr">
        <is>
          <t>KPI 2</t>
        </is>
      </c>
      <c r="E7" s="107" t="inlineStr"/>
      <c r="F7" s="107" t="n">
        <v>100</v>
      </c>
      <c r="G7" s="107" t="n">
        <v>0</v>
      </c>
      <c r="H7" s="108">
        <f>IFERROR(MIN(G7/F7*10,10),0)</f>
        <v/>
      </c>
      <c r="I7" s="109">
        <f>H7*C6/3</f>
        <v/>
      </c>
    </row>
    <row r="8" ht="22" customHeight="1">
      <c r="A8" s="104" t="n"/>
      <c r="B8" s="105" t="n"/>
      <c r="C8" s="107" t="n"/>
      <c r="D8" s="107" t="inlineStr">
        <is>
          <t>KPI 3</t>
        </is>
      </c>
      <c r="E8" s="107" t="inlineStr"/>
      <c r="F8" s="107" t="n">
        <v>100</v>
      </c>
      <c r="G8" s="107" t="n">
        <v>0</v>
      </c>
      <c r="H8" s="108">
        <f>IFERROR(MIN(G8/F8*10,10),0)</f>
        <v/>
      </c>
      <c r="I8" s="109">
        <f>H8*C6/3</f>
        <v/>
      </c>
    </row>
    <row r="9" ht="22" customHeight="1">
      <c r="A9" s="110" t="inlineStr">
        <is>
          <t>Customer</t>
        </is>
      </c>
      <c r="B9" s="111" t="inlineStr">
        <is>
          <t>NPS, satisfaction, retention, service quality</t>
        </is>
      </c>
      <c r="C9" s="112" t="n">
        <v>0.25</v>
      </c>
      <c r="D9" s="113" t="inlineStr">
        <is>
          <t>KPI 1</t>
        </is>
      </c>
      <c r="E9" s="113" t="inlineStr"/>
      <c r="F9" s="113" t="n">
        <v>100</v>
      </c>
      <c r="G9" s="113" t="n">
        <v>0</v>
      </c>
      <c r="H9" s="114">
        <f>IFERROR(MIN(G9/F9*10,10),0)</f>
        <v/>
      </c>
      <c r="I9" s="115">
        <f>H9*C9/3</f>
        <v/>
      </c>
    </row>
    <row r="10" ht="22" customHeight="1">
      <c r="A10" s="110" t="n"/>
      <c r="B10" s="111" t="n"/>
      <c r="C10" s="113" t="n"/>
      <c r="D10" s="113" t="inlineStr">
        <is>
          <t>KPI 2</t>
        </is>
      </c>
      <c r="E10" s="113" t="inlineStr"/>
      <c r="F10" s="113" t="n">
        <v>100</v>
      </c>
      <c r="G10" s="113" t="n">
        <v>0</v>
      </c>
      <c r="H10" s="114">
        <f>IFERROR(MIN(G10/F10*10,10),0)</f>
        <v/>
      </c>
      <c r="I10" s="115">
        <f>H10*C9/3</f>
        <v/>
      </c>
    </row>
    <row r="11" ht="22" customHeight="1">
      <c r="A11" s="110" t="n"/>
      <c r="B11" s="111" t="n"/>
      <c r="C11" s="113" t="n"/>
      <c r="D11" s="113" t="inlineStr">
        <is>
          <t>KPI 3</t>
        </is>
      </c>
      <c r="E11" s="113" t="inlineStr"/>
      <c r="F11" s="113" t="n">
        <v>100</v>
      </c>
      <c r="G11" s="113" t="n">
        <v>0</v>
      </c>
      <c r="H11" s="114">
        <f>IFERROR(MIN(G11/F11*10,10),0)</f>
        <v/>
      </c>
      <c r="I11" s="115">
        <f>H11*C9/3</f>
        <v/>
      </c>
    </row>
    <row r="12" ht="22" customHeight="1">
      <c r="A12" s="116" t="inlineStr">
        <is>
          <t>Internal Process</t>
        </is>
      </c>
      <c r="B12" s="117" t="inlineStr">
        <is>
          <t>Cycle time, quality, efficiency, compliance</t>
        </is>
      </c>
      <c r="C12" s="118" t="n">
        <v>0.25</v>
      </c>
      <c r="D12" s="119" t="inlineStr">
        <is>
          <t>KPI 1</t>
        </is>
      </c>
      <c r="E12" s="119" t="inlineStr"/>
      <c r="F12" s="119" t="n">
        <v>100</v>
      </c>
      <c r="G12" s="119" t="n">
        <v>0</v>
      </c>
      <c r="H12" s="120">
        <f>IFERROR(MIN(G12/F12*10,10),0)</f>
        <v/>
      </c>
      <c r="I12" s="121">
        <f>H12*C12/3</f>
        <v/>
      </c>
    </row>
    <row r="13" ht="22" customHeight="1">
      <c r="A13" s="116" t="n"/>
      <c r="B13" s="117" t="n"/>
      <c r="C13" s="119" t="n"/>
      <c r="D13" s="119" t="inlineStr">
        <is>
          <t>KPI 2</t>
        </is>
      </c>
      <c r="E13" s="119" t="inlineStr"/>
      <c r="F13" s="119" t="n">
        <v>100</v>
      </c>
      <c r="G13" s="119" t="n">
        <v>0</v>
      </c>
      <c r="H13" s="120">
        <f>IFERROR(MIN(G13/F13*10,10),0)</f>
        <v/>
      </c>
      <c r="I13" s="121">
        <f>H13*C12/3</f>
        <v/>
      </c>
    </row>
    <row r="14" ht="22" customHeight="1">
      <c r="A14" s="116" t="n"/>
      <c r="B14" s="117" t="n"/>
      <c r="C14" s="119" t="n"/>
      <c r="D14" s="119" t="inlineStr">
        <is>
          <t>KPI 3</t>
        </is>
      </c>
      <c r="E14" s="119" t="inlineStr"/>
      <c r="F14" s="119" t="n">
        <v>100</v>
      </c>
      <c r="G14" s="119" t="n">
        <v>0</v>
      </c>
      <c r="H14" s="120">
        <f>IFERROR(MIN(G14/F14*10,10),0)</f>
        <v/>
      </c>
      <c r="I14" s="121">
        <f>H14*C12/3</f>
        <v/>
      </c>
    </row>
    <row r="15" ht="22" customHeight="1">
      <c r="A15" s="122" t="inlineStr">
        <is>
          <t>Learning &amp; Growth</t>
        </is>
      </c>
      <c r="B15" s="123" t="inlineStr">
        <is>
          <t>Employee engagement, training hours, capability</t>
        </is>
      </c>
      <c r="C15" s="124" t="n">
        <v>0.25</v>
      </c>
      <c r="D15" s="125" t="inlineStr">
        <is>
          <t>KPI 1</t>
        </is>
      </c>
      <c r="E15" s="125" t="inlineStr"/>
      <c r="F15" s="125" t="n">
        <v>100</v>
      </c>
      <c r="G15" s="125" t="n">
        <v>0</v>
      </c>
      <c r="H15" s="126">
        <f>IFERROR(MIN(G15/F15*10,10),0)</f>
        <v/>
      </c>
      <c r="I15" s="127">
        <f>H15*C15/3</f>
        <v/>
      </c>
    </row>
    <row r="16" ht="22" customHeight="1">
      <c r="A16" s="122" t="n"/>
      <c r="B16" s="123" t="n"/>
      <c r="C16" s="125" t="n"/>
      <c r="D16" s="125" t="inlineStr">
        <is>
          <t>KPI 2</t>
        </is>
      </c>
      <c r="E16" s="125" t="inlineStr"/>
      <c r="F16" s="125" t="n">
        <v>100</v>
      </c>
      <c r="G16" s="125" t="n">
        <v>0</v>
      </c>
      <c r="H16" s="126">
        <f>IFERROR(MIN(G16/F16*10,10),0)</f>
        <v/>
      </c>
      <c r="I16" s="127">
        <f>H16*C15/3</f>
        <v/>
      </c>
    </row>
    <row r="17" ht="22" customHeight="1">
      <c r="A17" s="122" t="n"/>
      <c r="B17" s="123" t="n"/>
      <c r="C17" s="125" t="n"/>
      <c r="D17" s="125" t="inlineStr">
        <is>
          <t>KPI 3</t>
        </is>
      </c>
      <c r="E17" s="125" t="inlineStr"/>
      <c r="F17" s="125" t="n">
        <v>100</v>
      </c>
      <c r="G17" s="125" t="n">
        <v>0</v>
      </c>
      <c r="H17" s="126">
        <f>IFERROR(MIN(G17/F17*10,10),0)</f>
        <v/>
      </c>
      <c r="I17" s="127">
        <f>H17*C15/3</f>
        <v/>
      </c>
    </row>
    <row r="18" ht="28" customHeight="1">
      <c r="A18" s="128" t="inlineStr">
        <is>
          <t>TOTAL BALANCED SCORECARD SCORE</t>
        </is>
      </c>
      <c r="I18" s="129">
        <f>SUM(I6:I17)</f>
        <v/>
      </c>
    </row>
  </sheetData>
  <mergeCells count="4">
    <mergeCell ref="A1:I1"/>
    <mergeCell ref="A3:I3"/>
    <mergeCell ref="A2:I2"/>
    <mergeCell ref="A18:H1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F97316"/>
    <outlinePr summaryBelow="1" summaryRight="1"/>
    <pageSetUpPr/>
  </sheetPr>
  <dimension ref="A1:J2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6" customWidth="1" min="7" max="7"/>
    <col width="18" customWidth="1" min="8" max="8"/>
    <col width="18" customWidth="1" min="9" max="9"/>
    <col width="18" customWidth="1" min="10" max="10"/>
  </cols>
  <sheetData>
    <row r="1">
      <c r="A1" s="17" t="inlineStr">
        <is>
          <t>VIRORAH PMS — Org Planner (Headcount &amp; Cost Planning)</t>
        </is>
      </c>
    </row>
    <row r="2">
      <c r="A2" s="13" t="inlineStr">
        <is>
          <t>Department-level headcount planning and cost modelling. Edit yellow cells.</t>
        </is>
      </c>
    </row>
    <row r="3">
      <c r="A3" s="3" t="n"/>
    </row>
    <row r="4" ht="22" customHeight="1">
      <c r="A4" s="91" t="inlineStr">
        <is>
          <t>GLOBAL ASSUMPTIONS (edit yellow cells)</t>
        </is>
      </c>
    </row>
    <row r="5" ht="20" customHeight="1">
      <c r="A5" s="56" t="inlineStr">
        <is>
          <t>Avg Annual Increment %</t>
        </is>
      </c>
      <c r="B5" s="130" t="n">
        <v>0.08</v>
      </c>
    </row>
    <row r="6" ht="20" customHeight="1">
      <c r="A6" s="56" t="inlineStr">
        <is>
          <t>Benefits / Overhead Multiplier</t>
        </is>
      </c>
      <c r="B6" s="131" t="n">
        <v>1.2</v>
      </c>
    </row>
    <row r="7" ht="20" customHeight="1">
      <c r="A7" s="56" t="inlineStr">
        <is>
          <t>Attrition Rate (Annual)</t>
        </is>
      </c>
      <c r="B7" s="130" t="n">
        <v>0.12</v>
      </c>
    </row>
    <row r="8" ht="20" customHeight="1">
      <c r="A8" s="56" t="inlineStr">
        <is>
          <t>Planning Horizon (Years)</t>
        </is>
      </c>
      <c r="B8" s="132" t="n">
        <v>2</v>
      </c>
    </row>
    <row r="10" ht="24" customHeight="1">
      <c r="A10" s="15" t="inlineStr">
        <is>
          <t>Department</t>
        </is>
      </c>
      <c r="B10" s="15" t="inlineStr">
        <is>
          <t>Current HC</t>
        </is>
      </c>
      <c r="C10" s="15" t="inlineStr">
        <is>
          <t>Planned Adds</t>
        </is>
      </c>
      <c r="D10" s="15" t="inlineStr">
        <is>
          <t>Planned Exits</t>
        </is>
      </c>
      <c r="E10" s="15" t="inlineStr">
        <is>
          <t>Net Change</t>
        </is>
      </c>
      <c r="F10" s="15" t="inlineStr">
        <is>
          <t>End HC</t>
        </is>
      </c>
      <c r="G10" s="15" t="inlineStr">
        <is>
          <t>Avg Salary</t>
        </is>
      </c>
      <c r="H10" s="15" t="inlineStr">
        <is>
          <t>Current Cost</t>
        </is>
      </c>
      <c r="I10" s="15" t="inlineStr">
        <is>
          <t>Year 1 Cost</t>
        </is>
      </c>
      <c r="J10" s="15" t="inlineStr">
        <is>
          <t>Year 2 Cost</t>
        </is>
      </c>
    </row>
    <row r="11" ht="22" customHeight="1">
      <c r="A11" s="38" t="inlineStr">
        <is>
          <t>Engineering</t>
        </is>
      </c>
      <c r="B11" s="82">
        <f>COUNTIF('Employee Data'!G7:G2000,"Engineering")</f>
        <v/>
      </c>
      <c r="C11" s="133" t="n">
        <v>0</v>
      </c>
      <c r="D11" s="133" t="n">
        <v>0</v>
      </c>
      <c r="E11" s="82">
        <f>C11-D11</f>
        <v/>
      </c>
      <c r="F11" s="82">
        <f>B11+E11</f>
        <v/>
      </c>
      <c r="G11" s="85">
        <f>IFERROR(AVERAGEIF('Employee Data'!G7:G2000,"Engineering",'Employee Data'!D7:D2000),0)</f>
        <v/>
      </c>
      <c r="H11" s="85">
        <f>B11*G11*$B$6</f>
        <v/>
      </c>
      <c r="I11" s="85">
        <f>F11*G11*(1+$B$5)*$B$6</f>
        <v/>
      </c>
      <c r="J11" s="85">
        <f>F11*G11*(1+$B$5)^2*$B$6</f>
        <v/>
      </c>
    </row>
    <row r="12" ht="22" customHeight="1">
      <c r="A12" s="42" t="inlineStr">
        <is>
          <t>Product</t>
        </is>
      </c>
      <c r="B12" s="87">
        <f>COUNTIF('Employee Data'!G7:G2000,"Product")</f>
        <v/>
      </c>
      <c r="C12" s="134" t="n">
        <v>0</v>
      </c>
      <c r="D12" s="134" t="n">
        <v>0</v>
      </c>
      <c r="E12" s="87">
        <f>C12-D12</f>
        <v/>
      </c>
      <c r="F12" s="87">
        <f>B12+E12</f>
        <v/>
      </c>
      <c r="G12" s="90">
        <f>IFERROR(AVERAGEIF('Employee Data'!G7:G2000,"Product",'Employee Data'!D7:D2000),0)</f>
        <v/>
      </c>
      <c r="H12" s="90">
        <f>B12*G12*$B$6</f>
        <v/>
      </c>
      <c r="I12" s="90">
        <f>F12*G12*(1+$B$5)*$B$6</f>
        <v/>
      </c>
      <c r="J12" s="90">
        <f>F12*G12*(1+$B$5)^2*$B$6</f>
        <v/>
      </c>
    </row>
    <row r="13" ht="22" customHeight="1">
      <c r="A13" s="38" t="inlineStr">
        <is>
          <t>Sales</t>
        </is>
      </c>
      <c r="B13" s="82">
        <f>COUNTIF('Employee Data'!G7:G2000,"Sales")</f>
        <v/>
      </c>
      <c r="C13" s="133" t="n">
        <v>0</v>
      </c>
      <c r="D13" s="133" t="n">
        <v>0</v>
      </c>
      <c r="E13" s="82">
        <f>C13-D13</f>
        <v/>
      </c>
      <c r="F13" s="82">
        <f>B13+E13</f>
        <v/>
      </c>
      <c r="G13" s="85">
        <f>IFERROR(AVERAGEIF('Employee Data'!G7:G2000,"Sales",'Employee Data'!D7:D2000),0)</f>
        <v/>
      </c>
      <c r="H13" s="85">
        <f>B13*G13*$B$6</f>
        <v/>
      </c>
      <c r="I13" s="85">
        <f>F13*G13*(1+$B$5)*$B$6</f>
        <v/>
      </c>
      <c r="J13" s="85">
        <f>F13*G13*(1+$B$5)^2*$B$6</f>
        <v/>
      </c>
    </row>
    <row r="14" ht="22" customHeight="1">
      <c r="A14" s="42" t="inlineStr">
        <is>
          <t>Marketing</t>
        </is>
      </c>
      <c r="B14" s="87">
        <f>COUNTIF('Employee Data'!G7:G2000,"Marketing")</f>
        <v/>
      </c>
      <c r="C14" s="134" t="n">
        <v>0</v>
      </c>
      <c r="D14" s="134" t="n">
        <v>0</v>
      </c>
      <c r="E14" s="87">
        <f>C14-D14</f>
        <v/>
      </c>
      <c r="F14" s="87">
        <f>B14+E14</f>
        <v/>
      </c>
      <c r="G14" s="90">
        <f>IFERROR(AVERAGEIF('Employee Data'!G7:G2000,"Marketing",'Employee Data'!D7:D2000),0)</f>
        <v/>
      </c>
      <c r="H14" s="90">
        <f>B14*G14*$B$6</f>
        <v/>
      </c>
      <c r="I14" s="90">
        <f>F14*G14*(1+$B$5)*$B$6</f>
        <v/>
      </c>
      <c r="J14" s="90">
        <f>F14*G14*(1+$B$5)^2*$B$6</f>
        <v/>
      </c>
    </row>
    <row r="15" ht="22" customHeight="1">
      <c r="A15" s="38" t="inlineStr">
        <is>
          <t>Finance</t>
        </is>
      </c>
      <c r="B15" s="82">
        <f>COUNTIF('Employee Data'!G7:G2000,"Finance")</f>
        <v/>
      </c>
      <c r="C15" s="133" t="n">
        <v>0</v>
      </c>
      <c r="D15" s="133" t="n">
        <v>0</v>
      </c>
      <c r="E15" s="82">
        <f>C15-D15</f>
        <v/>
      </c>
      <c r="F15" s="82">
        <f>B15+E15</f>
        <v/>
      </c>
      <c r="G15" s="85">
        <f>IFERROR(AVERAGEIF('Employee Data'!G7:G2000,"Finance",'Employee Data'!D7:D2000),0)</f>
        <v/>
      </c>
      <c r="H15" s="85">
        <f>B15*G15*$B$6</f>
        <v/>
      </c>
      <c r="I15" s="85">
        <f>F15*G15*(1+$B$5)*$B$6</f>
        <v/>
      </c>
      <c r="J15" s="85">
        <f>F15*G15*(1+$B$5)^2*$B$6</f>
        <v/>
      </c>
    </row>
    <row r="16" ht="22" customHeight="1">
      <c r="A16" s="42" t="inlineStr">
        <is>
          <t>Operations</t>
        </is>
      </c>
      <c r="B16" s="87">
        <f>COUNTIF('Employee Data'!G7:G2000,"Operations")</f>
        <v/>
      </c>
      <c r="C16" s="134" t="n">
        <v>0</v>
      </c>
      <c r="D16" s="134" t="n">
        <v>0</v>
      </c>
      <c r="E16" s="87">
        <f>C16-D16</f>
        <v/>
      </c>
      <c r="F16" s="87">
        <f>B16+E16</f>
        <v/>
      </c>
      <c r="G16" s="90">
        <f>IFERROR(AVERAGEIF('Employee Data'!G7:G2000,"Operations",'Employee Data'!D7:D2000),0)</f>
        <v/>
      </c>
      <c r="H16" s="90">
        <f>B16*G16*$B$6</f>
        <v/>
      </c>
      <c r="I16" s="90">
        <f>F16*G16*(1+$B$5)*$B$6</f>
        <v/>
      </c>
      <c r="J16" s="90">
        <f>F16*G16*(1+$B$5)^2*$B$6</f>
        <v/>
      </c>
    </row>
    <row r="17" ht="22" customHeight="1">
      <c r="A17" s="38" t="inlineStr">
        <is>
          <t>HR</t>
        </is>
      </c>
      <c r="B17" s="82">
        <f>COUNTIF('Employee Data'!G7:G2000,"HR")</f>
        <v/>
      </c>
      <c r="C17" s="133" t="n">
        <v>0</v>
      </c>
      <c r="D17" s="133" t="n">
        <v>0</v>
      </c>
      <c r="E17" s="82">
        <f>C17-D17</f>
        <v/>
      </c>
      <c r="F17" s="82">
        <f>B17+E17</f>
        <v/>
      </c>
      <c r="G17" s="85">
        <f>IFERROR(AVERAGEIF('Employee Data'!G7:G2000,"HR",'Employee Data'!D7:D2000),0)</f>
        <v/>
      </c>
      <c r="H17" s="85">
        <f>B17*G17*$B$6</f>
        <v/>
      </c>
      <c r="I17" s="85">
        <f>F17*G17*(1+$B$5)*$B$6</f>
        <v/>
      </c>
      <c r="J17" s="85">
        <f>F17*G17*(1+$B$5)^2*$B$6</f>
        <v/>
      </c>
    </row>
    <row r="18" ht="22" customHeight="1">
      <c r="A18" s="42" t="inlineStr">
        <is>
          <t>Executive</t>
        </is>
      </c>
      <c r="B18" s="87">
        <f>COUNTIF('Employee Data'!G7:G2000,"Executive")</f>
        <v/>
      </c>
      <c r="C18" s="134" t="n">
        <v>0</v>
      </c>
      <c r="D18" s="134" t="n">
        <v>0</v>
      </c>
      <c r="E18" s="87">
        <f>C18-D18</f>
        <v/>
      </c>
      <c r="F18" s="87">
        <f>B18+E18</f>
        <v/>
      </c>
      <c r="G18" s="90">
        <f>IFERROR(AVERAGEIF('Employee Data'!G7:G2000,"Executive",'Employee Data'!D7:D2000),0)</f>
        <v/>
      </c>
      <c r="H18" s="90">
        <f>B18*G18*$B$6</f>
        <v/>
      </c>
      <c r="I18" s="90">
        <f>F18*G18*(1+$B$5)*$B$6</f>
        <v/>
      </c>
      <c r="J18" s="90">
        <f>F18*G18*(1+$B$5)^2*$B$6</f>
        <v/>
      </c>
    </row>
    <row r="19" ht="22" customHeight="1">
      <c r="A19" s="38" t="inlineStr">
        <is>
          <t>Design</t>
        </is>
      </c>
      <c r="B19" s="82">
        <f>COUNTIF('Employee Data'!G7:G2000,"Design")</f>
        <v/>
      </c>
      <c r="C19" s="133" t="n">
        <v>0</v>
      </c>
      <c r="D19" s="133" t="n">
        <v>0</v>
      </c>
      <c r="E19" s="82">
        <f>C19-D19</f>
        <v/>
      </c>
      <c r="F19" s="82">
        <f>B19+E19</f>
        <v/>
      </c>
      <c r="G19" s="85">
        <f>IFERROR(AVERAGEIF('Employee Data'!G7:G2000,"Design",'Employee Data'!D7:D2000),0)</f>
        <v/>
      </c>
      <c r="H19" s="85">
        <f>B19*G19*$B$6</f>
        <v/>
      </c>
      <c r="I19" s="85">
        <f>F19*G19*(1+$B$5)*$B$6</f>
        <v/>
      </c>
      <c r="J19" s="85">
        <f>F19*G19*(1+$B$5)^2*$B$6</f>
        <v/>
      </c>
    </row>
    <row r="20" ht="22" customHeight="1">
      <c r="A20" s="42" t="inlineStr">
        <is>
          <t>Other</t>
        </is>
      </c>
      <c r="B20" s="87">
        <f>COUNTIF('Employee Data'!G7:G2000,"Other")</f>
        <v/>
      </c>
      <c r="C20" s="134" t="n">
        <v>0</v>
      </c>
      <c r="D20" s="134" t="n">
        <v>0</v>
      </c>
      <c r="E20" s="87">
        <f>C20-D20</f>
        <v/>
      </c>
      <c r="F20" s="87">
        <f>B20+E20</f>
        <v/>
      </c>
      <c r="G20" s="90">
        <f>IFERROR(AVERAGEIF('Employee Data'!G7:G2000,"Other",'Employee Data'!D7:D2000),0)</f>
        <v/>
      </c>
      <c r="H20" s="90">
        <f>B20*G20*$B$6</f>
        <v/>
      </c>
      <c r="I20" s="90">
        <f>F20*G20*(1+$B$5)*$B$6</f>
        <v/>
      </c>
      <c r="J20" s="90">
        <f>F20*G20*(1+$B$5)^2*$B$6</f>
        <v/>
      </c>
    </row>
    <row r="21" ht="24" customHeight="1">
      <c r="A21" s="135" t="inlineStr">
        <is>
          <t>TOTAL ORG</t>
        </is>
      </c>
      <c r="B21" s="95">
        <f>SUM(B11:B20)</f>
        <v/>
      </c>
      <c r="C21" s="95">
        <f>SUM(C11:C20)</f>
        <v/>
      </c>
      <c r="D21" s="95">
        <f>SUM(D11:D20)</f>
        <v/>
      </c>
      <c r="E21" s="95">
        <f>SUM(E11:E20)</f>
        <v/>
      </c>
      <c r="F21" s="95">
        <f>SUM(F11:F20)</f>
        <v/>
      </c>
      <c r="G21" s="95">
        <f>IFERROR(H21/B21,0)</f>
        <v/>
      </c>
      <c r="H21" s="95">
        <f>SUM(H11:H20)</f>
        <v/>
      </c>
      <c r="I21" s="95">
        <f>SUM(I11:I20)</f>
        <v/>
      </c>
      <c r="J21" s="95">
        <f>SUM(J11:J20)</f>
        <v/>
      </c>
    </row>
    <row r="22" ht="20" customHeight="1">
      <c r="A22" s="136" t="inlineStr">
        <is>
          <t>Year 1 Cost Delta vs Current</t>
        </is>
      </c>
      <c r="B22" s="137">
        <f>I21-H21</f>
        <v/>
      </c>
      <c r="C22" s="138">
        <f>IFERROR((I21-H21)/H21,0)</f>
        <v/>
      </c>
    </row>
  </sheetData>
  <mergeCells count="4">
    <mergeCell ref="A1:J1"/>
    <mergeCell ref="A4:J4"/>
    <mergeCell ref="A3:J3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2026-06-03T13:10:42Z</dcterms:created>
  <dcterms:modified xmlns:dcterms="http://purl.org/dc/terms/" xmlns:xsi="http://www.w3.org/2001/XMLSchema-instance" xsi:type="dcterms:W3CDTF">2026-06-03T13:10:49Z</dcterms:modified>
</cp:coreProperties>
</file>