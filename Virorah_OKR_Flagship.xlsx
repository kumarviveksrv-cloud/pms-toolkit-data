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Cover" sheetId="1" state="visible" r:id="rId3"/>
    <sheet name="⚙️ Config" sheetId="2" state="visible" r:id="rId4"/>
    <sheet name="🏢 L1 Company OKRs" sheetId="3" state="visible" r:id="rId5"/>
    <sheet name="🏬 L2 Dept OKRs" sheetId="4" state="visible" r:id="rId6"/>
    <sheet name="👥 L3 Team OKRs" sheetId="5" state="visible" r:id="rId7"/>
    <sheet name="👤 L4 Individual" sheetId="6" state="visible" r:id="rId8"/>
    <sheet name="🌡️ Health Dashboard" sheetId="7" state="visible" r:id="rId9"/>
    <sheet name="📅 Check-in Log" sheetId="8" state="visible" r:id="rId10"/>
    <sheet name="⚡ Stretch vs Commit" sheetId="9" state="visible" r:id="rId11"/>
    <sheet name="📖 Scoring Guide" sheetId="10" state="visible" r:id="rId12"/>
    <sheet name="🔗 Dependencies" sheetId="11" state="visible" r:id="rId13"/>
    <sheet name="📊 Cascade View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<sst xmlns="http://schemas.openxmlformats.org/spreadsheetml/2006/main" count="863" uniqueCount="434">
  <si>
    <t xml:space="preserve">VIRORAH PMS</t>
  </si>
  <si>
    <t xml:space="preserve">Enterprise OKR Execution Toolkit</t>
  </si>
  <si>
    <t xml:space="preserve">Hybrid Google · SMART Scoring  ·  4-Level Cascade  ·  Stretch vs Committed  ·  Cross-Functional Dependencies</t>
  </si>
  <si>
    <t xml:space="preserve">WHAT'S IN THIS WORKBOOK</t>
  </si>
  <si>
    <t xml:space="preserve">🏠 Cover</t>
  </si>
  <si>
    <t xml:space="preserve">This page — navigation and instructions</t>
  </si>
  <si>
    <t xml:space="preserve">⚙️ Config</t>
  </si>
  <si>
    <t xml:space="preserve">Org settings, scoring method, quarter dates, owners</t>
  </si>
  <si>
    <t xml:space="preserve">🏢 L1 Company OKRs</t>
  </si>
  <si>
    <t xml:space="preserve">Top-level company objectives (CEO / Board)</t>
  </si>
  <si>
    <t xml:space="preserve">🏬 L2 Dept OKRs</t>
  </si>
  <si>
    <t xml:space="preserve">Department-level OKRs linked to Company objectives</t>
  </si>
  <si>
    <t xml:space="preserve">👥 L3 Team OKRs</t>
  </si>
  <si>
    <t xml:space="preserve">Team-level OKRs linked to Department objectives</t>
  </si>
  <si>
    <t xml:space="preserve">👤 L4 Individual</t>
  </si>
  <si>
    <t xml:space="preserve">Individual KRs linked to Team objectives</t>
  </si>
  <si>
    <t xml:space="preserve">📊 Cascade View</t>
  </si>
  <si>
    <t xml:space="preserve">Full cascade in one view — Company → Dept → Team → Individual</t>
  </si>
  <si>
    <t xml:space="preserve">🌡️ Health Dashboard</t>
  </si>
  <si>
    <t xml:space="preserve">CHRO-level OKR health across the entire org</t>
  </si>
  <si>
    <t xml:space="preserve">📅 Check-in Log</t>
  </si>
  <si>
    <t xml:space="preserve">Weekly confidence updates with trend tracking</t>
  </si>
  <si>
    <t xml:space="preserve">⚡ Stretch vs Commit</t>
  </si>
  <si>
    <t xml:space="preserve">Aspirational vs committed OKR split tracker</t>
  </si>
  <si>
    <t xml:space="preserve">🔗 Dependencies</t>
  </si>
  <si>
    <t xml:space="preserve">Cross-functional dependency mapping</t>
  </si>
  <si>
    <t xml:space="preserve">📖 Scoring Guide</t>
  </si>
  <si>
    <t xml:space="preserve">How to score OKRs — Google model + SMART model explained</t>
  </si>
  <si>
    <t xml:space="preserve">COLOR CODE</t>
  </si>
  <si>
    <t xml:space="preserve">  ●  </t>
  </si>
  <si>
    <t xml:space="preserve">Blue text = User input cells — fill these in</t>
  </si>
  <si>
    <t xml:space="preserve">Green text = Formula cells — do not edit</t>
  </si>
  <si>
    <t xml:space="preserve">🟢 Green score/badge = On Track (≥ 0.7 / ≥ 70%)</t>
  </si>
  <si>
    <t xml:space="preserve">🟡 Amber score/badge = At Risk (0.4–0.69 / 40–69%)</t>
  </si>
  <si>
    <t xml:space="preserve">🔴 Red score/badge = Off Track (&lt; 0.4 / &lt; 40%)</t>
  </si>
  <si>
    <t xml:space="preserve">Purple = Section headers / Virorah brand</t>
  </si>
  <si>
    <t xml:space="preserve">⚙️  ORG CONFIGURATION</t>
  </si>
  <si>
    <t xml:space="preserve">Enter your org details here. These values are referenced across all sheets.</t>
  </si>
  <si>
    <t xml:space="preserve">ORG SETTINGS</t>
  </si>
  <si>
    <t xml:space="preserve">Organisation Name</t>
  </si>
  <si>
    <t xml:space="preserve">Virorah Private Limited</t>
  </si>
  <si>
    <t xml:space="preserve">OKR Period (Quarter)</t>
  </si>
  <si>
    <t xml:space="preserve">Q3 2026</t>
  </si>
  <si>
    <t xml:space="preserve">Period Start Date</t>
  </si>
  <si>
    <t xml:space="preserve">01 Jul 2026</t>
  </si>
  <si>
    <t xml:space="preserve">Period End Date</t>
  </si>
  <si>
    <t xml:space="preserve">30 Sep 2026</t>
  </si>
  <si>
    <t xml:space="preserve">Total Headcount</t>
  </si>
  <si>
    <t xml:space="preserve">CEO / Top Executive</t>
  </si>
  <si>
    <t xml:space="preserve">Vivek Kumar</t>
  </si>
  <si>
    <t xml:space="preserve">SCORING METHOD</t>
  </si>
  <si>
    <t xml:space="preserve">Primary Scoring Method</t>
  </si>
  <si>
    <t xml:space="preserve">Google (0.0–1.0)</t>
  </si>
  <si>
    <t xml:space="preserve">Google: Target Score (aspirational)</t>
  </si>
  <si>
    <t xml:space="preserve">Google: Committed floor</t>
  </si>
  <si>
    <t xml:space="preserve">SMART: Target = 100%</t>
  </si>
  <si>
    <t xml:space="preserve">OKR COVERAGE TARGET</t>
  </si>
  <si>
    <t xml:space="preserve">% of org with OKRs set</t>
  </si>
  <si>
    <t xml:space="preserve">80%</t>
  </si>
  <si>
    <t xml:space="preserve">Levels covered</t>
  </si>
  <si>
    <t xml:space="preserve">Company, Dept, Team, Individual</t>
  </si>
  <si>
    <t xml:space="preserve">Max KRs per Objective</t>
  </si>
  <si>
    <t xml:space="preserve">RATING LABELS</t>
  </si>
  <si>
    <t xml:space="preserve">Score 0.9–1.0</t>
  </si>
  <si>
    <t xml:space="preserve">🏆 Supercharged</t>
  </si>
  <si>
    <t xml:space="preserve">Score 0.7–0.89</t>
  </si>
  <si>
    <t xml:space="preserve">🟢 On Track</t>
  </si>
  <si>
    <t xml:space="preserve">Score 0.4–0.69</t>
  </si>
  <si>
    <t xml:space="preserve">🟡 At Risk</t>
  </si>
  <si>
    <t xml:space="preserve">Score 0.0–0.39</t>
  </si>
  <si>
    <t xml:space="preserve">🔴 Off Track</t>
  </si>
  <si>
    <t xml:space="preserve">OWNERS (auto-populate dropdowns)</t>
  </si>
  <si>
    <t xml:space="preserve">Owner 1</t>
  </si>
  <si>
    <t xml:space="preserve">CEO</t>
  </si>
  <si>
    <t xml:space="preserve">Owner 2</t>
  </si>
  <si>
    <t xml:space="preserve">CHRO</t>
  </si>
  <si>
    <t xml:space="preserve">Owner 3</t>
  </si>
  <si>
    <t xml:space="preserve">CPO</t>
  </si>
  <si>
    <t xml:space="preserve">Owner 4</t>
  </si>
  <si>
    <t xml:space="preserve">CTO</t>
  </si>
  <si>
    <t xml:space="preserve">Owner 5</t>
  </si>
  <si>
    <t xml:space="preserve">CMO</t>
  </si>
  <si>
    <t xml:space="preserve">Owner 6</t>
  </si>
  <si>
    <t xml:space="preserve">CFO</t>
  </si>
  <si>
    <t xml:space="preserve">Owner 7</t>
  </si>
  <si>
    <t xml:space="preserve">Head of Engineering</t>
  </si>
  <si>
    <t xml:space="preserve">Owner 8</t>
  </si>
  <si>
    <t xml:space="preserve">Head of Growth</t>
  </si>
  <si>
    <t xml:space="preserve">Owner 9</t>
  </si>
  <si>
    <t xml:space="preserve">Head of Product</t>
  </si>
  <si>
    <t xml:space="preserve">Owner 10</t>
  </si>
  <si>
    <t xml:space="preserve">Head of HR</t>
  </si>
  <si>
    <t xml:space="preserve">🏢  COMPANY OKRs  ·  Level 1</t>
  </si>
  <si>
    <t xml:space="preserve">Blue cells = your inputs   ·   Green cells = auto-calculated   ·   Update "Current" columns weekly   ·   Linked to ⚙️ Config</t>
  </si>
  <si>
    <t xml:space="preserve">GOOGLE OKR SCORING (0.0 – 1.0)</t>
  </si>
  <si>
    <t xml:space="preserve">SMART SCORING (%)</t>
  </si>
  <si>
    <t xml:space="preserve">STATUS &amp; METADATA</t>
  </si>
  <si>
    <t xml:space="preserve">#</t>
  </si>
  <si>
    <t xml:space="preserve">OBJ #</t>
  </si>
  <si>
    <t xml:space="preserve">Objective</t>
  </si>
  <si>
    <t xml:space="preserve">Key Result</t>
  </si>
  <si>
    <t xml:space="preserve">Owner / DRI</t>
  </si>
  <si>
    <t xml:space="preserve">KR Type</t>
  </si>
  <si>
    <t xml:space="preserve">Baseline</t>
  </si>
  <si>
    <t xml:space="preserve">Stretch Target</t>
  </si>
  <si>
    <t xml:space="preserve">Current</t>
  </si>
  <si>
    <t xml:space="preserve">KR Score
(0–1)</t>
  </si>
  <si>
    <t xml:space="preserve">Obj Score
(0–1)</t>
  </si>
  <si>
    <t xml:space="preserve">Target
(100%)</t>
  </si>
  <si>
    <t xml:space="preserve">Actual
(%)</t>
  </si>
  <si>
    <t xml:space="preserve">SMART
 Score</t>
  </si>
  <si>
    <t xml:space="preserve">Confidence
Level</t>
  </si>
  <si>
    <t xml:space="preserve">Check-in
Date</t>
  </si>
  <si>
    <t xml:space="preserve">Period</t>
  </si>
  <si>
    <t xml:space="preserve">Linked to
Board / Vision</t>
  </si>
  <si>
    <t xml:space="preserve">Stretch vs
Commit</t>
  </si>
  <si>
    <t xml:space="preserve">Dependencies</t>
  </si>
  <si>
    <t xml:space="preserve">Notes</t>
  </si>
  <si>
    <t xml:space="preserve">Establish Virorah PMS as the #1 HR EdTech platform in India by end of 2026</t>
  </si>
  <si>
    <t xml:space="preserve">Reach 10,000 active Pro subscribers globally</t>
  </si>
  <si>
    <t xml:space="preserve">Aspirational</t>
  </si>
  <si>
    <t xml:space="preserve">High</t>
  </si>
  <si>
    <t xml:space="preserve">Board OKR</t>
  </si>
  <si>
    <t xml:space="preserve">Stretch</t>
  </si>
  <si>
    <t xml:space="preserve">Gumroad + Razorpay payment activation</t>
  </si>
  <si>
    <t xml:space="preserve">Primary growth KR</t>
  </si>
  <si>
    <t xml:space="preserve">Achieve Net Promoter Score of 65+ from Pro users</t>
  </si>
  <si>
    <t xml:space="preserve">Committed</t>
  </si>
  <si>
    <t xml:space="preserve">Medium</t>
  </si>
  <si>
    <t xml:space="preserve">Commit</t>
  </si>
  <si>
    <t xml:space="preserve">User survey tool setup</t>
  </si>
  <si>
    <t xml:space="preserve">First survey at 500 users</t>
  </si>
  <si>
    <t xml:space="preserve">Launch in 3 international markets (SG, UAE, UK)</t>
  </si>
  <si>
    <t xml:space="preserve">Low</t>
  </si>
  <si>
    <t xml:space="preserve">Gumroad international payments</t>
  </si>
  <si>
    <t xml:space="preserve">Gumroad live = auto-unlock</t>
  </si>
  <si>
    <t xml:space="preserve">Secure DPIIT Startup India recognition</t>
  </si>
  <si>
    <t xml:space="preserve">INC 20A filing completion</t>
  </si>
  <si>
    <t xml:space="preserve">CA handling</t>
  </si>
  <si>
    <t xml:space="preserve">Build a product that genuinely replaces enterprise PMS tools at 5% of their cost</t>
  </si>
  <si>
    <t xml:space="preserve">Ship Goal Diagnostic Lab + Bias Audit to 100% of Pro users</t>
  </si>
  <si>
    <t xml:space="preserve">None</t>
  </si>
  <si>
    <t xml:space="preserve">Completed ✅</t>
  </si>
  <si>
    <t xml:space="preserve">Deliver 3 enterprise-grade Excel toolkits in Downloads Library</t>
  </si>
  <si>
    <t xml:space="preserve">Achieve &lt; 3 min time-to-first-insight from sign-up</t>
  </si>
  <si>
    <t xml:space="preserve">Onboarding flow design</t>
  </si>
  <si>
    <t xml:space="preserve">Track via GA4</t>
  </si>
  <si>
    <t xml:space="preserve">Launch 4 Pro certifications with unique credential IDs</t>
  </si>
  <si>
    <t xml:space="preserve">All 4 live</t>
  </si>
  <si>
    <t xml:space="preserve">Achieve financial sustainability within 12 months of launch</t>
  </si>
  <si>
    <t xml:space="preserve">Hit ₹50L ARR by end of FY2026</t>
  </si>
  <si>
    <t xml:space="preserve">Payment stack live</t>
  </si>
  <si>
    <t xml:space="preserve">Gumroad + Razorpay needed</t>
  </si>
  <si>
    <t xml:space="preserve">Keep monthly burn below ₹8L</t>
  </si>
  <si>
    <t xml:space="preserve">Track monthly</t>
  </si>
  <si>
    <t xml:space="preserve">Achieve 40% gross margin on Pro subscriptions</t>
  </si>
  <si>
    <t xml:space="preserve">Pricing model finalised</t>
  </si>
  <si>
    <t xml:space="preserve">After 500 paying users</t>
  </si>
  <si>
    <t xml:space="preserve">PERIOD SUMMARY</t>
  </si>
  <si>
    <t xml:space="preserve">Avg Google Score</t>
  </si>
  <si>
    <t xml:space="preserve">Avg SMART %</t>
  </si>
  <si>
    <t xml:space="preserve">On Track KRs</t>
  </si>
  <si>
    <t xml:space="preserve">At Risk KRs</t>
  </si>
  <si>
    <t xml:space="preserve">Off Track KRs</t>
  </si>
  <si>
    <t xml:space="preserve">🏬  DEPARTMENT OKRs  ·  Level 2</t>
  </si>
  <si>
    <t xml:space="preserve">Linked to
Company OKR</t>
  </si>
  <si>
    <t xml:space="preserve">Product: Deliver a 10/10 learning experience that HR professionals recommend unprompted</t>
  </si>
  <si>
    <t xml:space="preserve">Reduce page load time to &lt; 2s on all calculator pages</t>
  </si>
  <si>
    <t xml:space="preserve">Establish as #1 platform</t>
  </si>
  <si>
    <t xml:space="preserve">CDN / caching setup</t>
  </si>
  <si>
    <t xml:space="preserve">Measure via Lighthouse</t>
  </si>
  <si>
    <t xml:space="preserve">Ship Conversation Simulator v2 with lip-sync</t>
  </si>
  <si>
    <t xml:space="preserve">Build product replacing enterprise tools</t>
  </si>
  <si>
    <t xml:space="preserve">D-ID API integration (post-revenue)</t>
  </si>
  <si>
    <t xml:space="preserve">CSS lip overlay abandoned — real lip-sync needed</t>
  </si>
  <si>
    <t xml:space="preserve">Publish 20 expert guides in Learning Hub</t>
  </si>
  <si>
    <t xml:space="preserve">14 live, 6 remaining</t>
  </si>
  <si>
    <t xml:space="preserve">Achieve 4.5+ star avg on tool quality rating</t>
  </si>
  <si>
    <t xml:space="preserve">In-app rating widget</t>
  </si>
  <si>
    <t xml:space="preserve">After beta launch</t>
  </si>
  <si>
    <t xml:space="preserve">Growth: Build a repeatable acquisition engine for HR professionals</t>
  </si>
  <si>
    <t xml:space="preserve">Launch 15-post LinkedIn campaign on Day 1 of Gumroad activation</t>
  </si>
  <si>
    <t xml:space="preserve">Reach 10k subscribers</t>
  </si>
  <si>
    <t xml:space="preserve">Gumroad payment links live</t>
  </si>
  <si>
    <t xml:space="preserve">Campaign written, not launched</t>
  </si>
  <si>
    <t xml:space="preserve">Achieve 500 email signups in first 30 days post-launch</t>
  </si>
  <si>
    <t xml:space="preserve">Resend email integration</t>
  </si>
  <si>
    <t xml:space="preserve">After payments live</t>
  </si>
  <si>
    <t xml:space="preserve">Get featured in 3 HR newsletters or communities</t>
  </si>
  <si>
    <t xml:space="preserve">Outreach list</t>
  </si>
  <si>
    <t xml:space="preserve">Identify top 10 HR newsletters</t>
  </si>
  <si>
    <t xml:space="preserve">Convert 10% of free users to Pro within 60 days</t>
  </si>
  <si>
    <t xml:space="preserve">Conversion funnel tracking</t>
  </si>
  <si>
    <t xml:space="preserve">GA4 goal setup needed</t>
  </si>
  <si>
    <t xml:space="preserve">People &amp; Culture: Build a culture of learning and radical transparency</t>
  </si>
  <si>
    <t xml:space="preserve">Complete all-hands OKR review every 2 weeks</t>
  </si>
  <si>
    <t xml:space="preserve">Financial sustainability</t>
  </si>
  <si>
    <t xml:space="preserve">6 bi-weekly sessions per quarter</t>
  </si>
  <si>
    <t xml:space="preserve">100% of team has individual OKRs linked to company objectives</t>
  </si>
  <si>
    <t xml:space="preserve">All company OKRs</t>
  </si>
  <si>
    <t xml:space="preserve">60% done — L4 sheet in progress</t>
  </si>
  <si>
    <t xml:space="preserve">Implement anonymous pulse survey with &gt; 80% participation</t>
  </si>
  <si>
    <t xml:space="preserve">Build 10/10 experience</t>
  </si>
  <si>
    <t xml:space="preserve">Survey tool</t>
  </si>
  <si>
    <t xml:space="preserve">Post-launch priority</t>
  </si>
  <si>
    <t xml:space="preserve">👥  TEAM OKRs  ·  Level 3</t>
  </si>
  <si>
    <t xml:space="preserve">Linked to
Dept OKR</t>
  </si>
  <si>
    <t xml:space="preserve">Engineering: Ship reliable, fast, delightful platform features every sprint</t>
  </si>
  <si>
    <t xml:space="preserve">Zero critical bugs in production for 30 consecutive days</t>
  </si>
  <si>
    <t xml:space="preserve">Tech Lead</t>
  </si>
  <si>
    <t xml:space="preserve">Product delivers 10/10 experience</t>
  </si>
  <si>
    <t xml:space="preserve">QA process setup</t>
  </si>
  <si>
    <t xml:space="preserve">Track on Notion</t>
  </si>
  <si>
    <t xml:space="preserve">Deploy PDF export to Goal Lab + Bias Audit</t>
  </si>
  <si>
    <t xml:space="preserve">Implement 3D Talent Galaxy on landing page</t>
  </si>
  <si>
    <t xml:space="preserve">Achieve 95%+ uptime on Cloudflare Worker AI endpoint</t>
  </si>
  <si>
    <t xml:space="preserve">Cloudflare monitoring</t>
  </si>
  <si>
    <t xml:space="preserve">Track via CF dashboard</t>
  </si>
  <si>
    <t xml:space="preserve">Marketing: Create content that makes HR professionals stop scrolling</t>
  </si>
  <si>
    <t xml:space="preserve">Write 15 LinkedIn posts for Day-1 campaign</t>
  </si>
  <si>
    <t xml:space="preserve">Growth Lead</t>
  </si>
  <si>
    <t xml:space="preserve">Launch 15-post LinkedIn campaign</t>
  </si>
  <si>
    <t xml:space="preserve">Create 5 carousel posts showing Spatial 9-Box wow-factor</t>
  </si>
  <si>
    <t xml:space="preserve">Design assets ready</t>
  </si>
  <si>
    <t xml:space="preserve">Screenshots from platform</t>
  </si>
  <si>
    <t xml:space="preserve">Identify and reach out to 10 HR newsletter editors</t>
  </si>
  <si>
    <t xml:space="preserve">Get featured in 3 HR newsletters</t>
  </si>
  <si>
    <t xml:space="preserve">Research phase</t>
  </si>
  <si>
    <t xml:space="preserve">Build a demo video of full platform walkthrough</t>
  </si>
  <si>
    <t xml:space="preserve">500 signups in 30 days</t>
  </si>
  <si>
    <t xml:space="preserve">Screen recording tool</t>
  </si>
  <si>
    <t xml:space="preserve">&lt; 3 min walk-through</t>
  </si>
  <si>
    <t xml:space="preserve">Customer Success: Ensure every Pro user gets value in first 7 days</t>
  </si>
  <si>
    <t xml:space="preserve">Create onboarding email sequence (5 emails)</t>
  </si>
  <si>
    <t xml:space="preserve">CS Lead</t>
  </si>
  <si>
    <t xml:space="preserve">500 email signups</t>
  </si>
  <si>
    <t xml:space="preserve">Resend integration</t>
  </si>
  <si>
    <t xml:space="preserve">Publish 10 help articles covering top user questions</t>
  </si>
  <si>
    <t xml:space="preserve">Ship 20 expert guides</t>
  </si>
  <si>
    <t xml:space="preserve">Identify questions from beta testing</t>
  </si>
  <si>
    <t xml:space="preserve">Achieve &lt; 24h first response time on support queries</t>
  </si>
  <si>
    <t xml:space="preserve">Achieve 4.5+ star rating</t>
  </si>
  <si>
    <t xml:space="preserve">Set up support inbox</t>
  </si>
  <si>
    <t xml:space="preserve">👤  INDIVIDUAL OKRs  ·  Level 4</t>
  </si>
  <si>
    <t xml:space="preserve">Linked to
Team OKR</t>
  </si>
  <si>
    <t xml:space="preserve">Vivek (Founder): Lead with clarity, speed, and product taste</t>
  </si>
  <si>
    <t xml:space="preserve">Ship 1 major product feature per week during Q3</t>
  </si>
  <si>
    <t xml:space="preserve">Vivek</t>
  </si>
  <si>
    <t xml:space="preserve">Engineering team OKR</t>
  </si>
  <si>
    <t xml:space="preserve">Claude AI build sessions</t>
  </si>
  <si>
    <t xml:space="preserve">6 weeks of sessions done</t>
  </si>
  <si>
    <t xml:space="preserve">Record all platform decisions in a decision log</t>
  </si>
  <si>
    <t xml:space="preserve">People &amp; Culture OKR</t>
  </si>
  <si>
    <t xml:space="preserve">Notion doc needed</t>
  </si>
  <si>
    <t xml:space="preserve">Close first 100 paying Pro subscribers personally</t>
  </si>
  <si>
    <t xml:space="preserve">Gumroad live</t>
  </si>
  <si>
    <t xml:space="preserve">Outreach + LinkedIn</t>
  </si>
  <si>
    <t xml:space="preserve">Complete INC 20A filing and bank account activation</t>
  </si>
  <si>
    <t xml:space="preserve">CA / bank</t>
  </si>
  <si>
    <t xml:space="preserve">Blocking Razorpay</t>
  </si>
  <si>
    <t xml:space="preserve">CPO: Define and ship a product roadmap that users love</t>
  </si>
  <si>
    <t xml:space="preserve">Write detailed PRD for each new feature before build</t>
  </si>
  <si>
    <t xml:space="preserve">Ship features on time</t>
  </si>
  <si>
    <t xml:space="preserve">4 PRDs done this quarter</t>
  </si>
  <si>
    <t xml:space="preserve">Conduct 10 user interviews with HR professionals</t>
  </si>
  <si>
    <t xml:space="preserve">Achieve 4.5 star rating</t>
  </si>
  <si>
    <t xml:space="preserve">Beta tester list</t>
  </si>
  <si>
    <t xml:space="preserve">2 done, 8 remaining</t>
  </si>
  <si>
    <t xml:space="preserve">Define pricing v2 (₹1499 India / $25 Global)</t>
  </si>
  <si>
    <t xml:space="preserve">Decision made, page needs update</t>
  </si>
  <si>
    <t xml:space="preserve">Ship OKR flagship Excel to Downloads Library</t>
  </si>
  <si>
    <t xml:space="preserve">Build product replacing enterprise</t>
  </si>
  <si>
    <t xml:space="preserve">In progress right now 🔨</t>
  </si>
  <si>
    <t xml:space="preserve">🌡️  OKR HEALTH DASHBOARD  —  CHRO VIEW</t>
  </si>
  <si>
    <t xml:space="preserve">Live summary — all formulas pull from L1–L4 sheets automatically. Update current values there to refresh.</t>
  </si>
  <si>
    <t xml:space="preserve">COMPANY</t>
  </si>
  <si>
    <t xml:space="preserve">DEPT</t>
  </si>
  <si>
    <t xml:space="preserve">TEAM</t>
  </si>
  <si>
    <t xml:space="preserve">INDIV.</t>
  </si>
  <si>
    <t xml:space="preserve">KR BREAKDOWN BY STATUS</t>
  </si>
  <si>
    <t xml:space="preserve">Level</t>
  </si>
  <si>
    <t xml:space="preserve">Total KRs</t>
  </si>
  <si>
    <t xml:space="preserve">🏆 Supercharged
(≥0.9)</t>
  </si>
  <si>
    <t xml:space="preserve">🟢 On Track
(0.7–0.89)</t>
  </si>
  <si>
    <t xml:space="preserve">🟡 At Risk
(0.4–0.69)</t>
  </si>
  <si>
    <t xml:space="preserve">🔴 Off Track
(&lt;0.4)</t>
  </si>
  <si>
    <t xml:space="preserve">Avg Score</t>
  </si>
  <si>
    <t xml:space="preserve">Coverage %</t>
  </si>
  <si>
    <t xml:space="preserve">Company L1</t>
  </si>
  <si>
    <t xml:space="preserve">—</t>
  </si>
  <si>
    <t xml:space="preserve">Dept L2</t>
  </si>
  <si>
    <t xml:space="preserve">Team L3</t>
  </si>
  <si>
    <t xml:space="preserve">Individual L4</t>
  </si>
  <si>
    <t xml:space="preserve">📅  WEEKLY OKR CHECK-IN LOG</t>
  </si>
  <si>
    <t xml:space="preserve">Update confidence + current values every week. Trend arrow auto-calculates from last 2 check-ins.</t>
  </si>
  <si>
    <t xml:space="preserve">Week</t>
  </si>
  <si>
    <t xml:space="preserve">Date</t>
  </si>
  <si>
    <t xml:space="preserve">Owner</t>
  </si>
  <si>
    <t xml:space="preserve">Last Score</t>
  </si>
  <si>
    <t xml:space="preserve">This Score</t>
  </si>
  <si>
    <t xml:space="preserve">Trend</t>
  </si>
  <si>
    <t xml:space="preserve">Confidence</t>
  </si>
  <si>
    <t xml:space="preserve">Blocker?</t>
  </si>
  <si>
    <t xml:space="preserve">Action Agreed</t>
  </si>
  <si>
    <t xml:space="preserve">Next Check-in</t>
  </si>
  <si>
    <t xml:space="preserve">⚡  STRETCH vs COMMITTED OKR TRACKER</t>
  </si>
  <si>
    <t xml:space="preserve">Aspirational OKRs: target 0.7 (reaching 1.0 means you didn't stretch enough). Committed: must hit 1.0.</t>
  </si>
  <si>
    <t xml:space="preserve">📖  THE GOOGLE RULE: Aspirational OKRs averaging 0.7 = perfect. If you're hitting 1.0 every time, your targets aren't ambitious enough.</t>
  </si>
  <si>
    <t xml:space="preserve">Committed OKRs: must hit 1.0. Missing these has direct consequences. Use sparingly — max 1 committed per objective.</t>
  </si>
  <si>
    <t xml:space="preserve">Type</t>
  </si>
  <si>
    <t xml:space="preserve">Target</t>
  </si>
  <si>
    <t xml:space="preserve">Score</t>
  </si>
  <si>
    <t xml:space="preserve">Status</t>
  </si>
  <si>
    <t xml:space="preserve">Ideal Range</t>
  </si>
  <si>
    <t xml:space="preserve">Gap to Ideal</t>
  </si>
  <si>
    <t xml:space="preserve">Reach 10k Pro subscribers</t>
  </si>
  <si>
    <t xml:space="preserve">0.6 – 0.8 ideal</t>
  </si>
  <si>
    <t xml:space="preserve">Ship Goal Diagnostic Lab</t>
  </si>
  <si>
    <t xml:space="preserve">1.0 required</t>
  </si>
  <si>
    <t xml:space="preserve">Ship Bias Audit module</t>
  </si>
  <si>
    <t xml:space="preserve">Hit ₹50L ARR</t>
  </si>
  <si>
    <t xml:space="preserve">📖  OKR SCORING METHODOLOGY GUIDE</t>
  </si>
  <si>
    <t xml:space="preserve">GOOGLE OKR MODEL (0.0 – 1.0)</t>
  </si>
  <si>
    <t xml:space="preserve">Label</t>
  </si>
  <si>
    <t xml:space="preserve">Meaning</t>
  </si>
  <si>
    <t xml:space="preserve">For Aspirational OKRs</t>
  </si>
  <si>
    <t xml:space="preserve">For Committed OKRs</t>
  </si>
  <si>
    <t xml:space="preserve">0.9 – 1.0</t>
  </si>
  <si>
    <t xml:space="preserve">Exceptional result</t>
  </si>
  <si>
    <t xml:space="preserve">Means your target wasn't ambitious enough</t>
  </si>
  <si>
    <t xml:space="preserve">Required — anything less is a miss</t>
  </si>
  <si>
    <t xml:space="preserve">0.7 – 0.89</t>
  </si>
  <si>
    <t xml:space="preserve">Good progress</t>
  </si>
  <si>
    <t xml:space="preserve">This is the GOLD STANDARD target</t>
  </si>
  <si>
    <t xml:space="preserve">Approaching required zone</t>
  </si>
  <si>
    <t xml:space="preserve">0.4 – 0.69</t>
  </si>
  <si>
    <t xml:space="preserve">Progress but lagging</t>
  </si>
  <si>
    <t xml:space="preserve">Acceptable for tough aspirational KRs</t>
  </si>
  <si>
    <t xml:space="preserve">High concern — needs intervention</t>
  </si>
  <si>
    <t xml:space="preserve">0.0 – 0.39</t>
  </si>
  <si>
    <t xml:space="preserve">Significant gap</t>
  </si>
  <si>
    <t xml:space="preserve">Needs review — too ambitious or under-resourced</t>
  </si>
  <si>
    <t xml:space="preserve">Critical — immediate escalation</t>
  </si>
  <si>
    <t xml:space="preserve">THE GOOGLE RULE</t>
  </si>
  <si>
    <t xml:space="preserve">Key Principle</t>
  </si>
  <si>
    <t xml:space="preserve">If you always hit 1.0 on aspirational OKRs, they were never ambitious enough. 0.7 is the deliberate target — the discomfort zone where real growth happens. Andy Grove invented this at Intel. Larry Page enforced it at Google.</t>
  </si>
  <si>
    <t xml:space="preserve">SMART KR MODEL (%)</t>
  </si>
  <si>
    <t xml:space="preserve">Action</t>
  </si>
  <si>
    <t xml:space="preserve">90 – 100%</t>
  </si>
  <si>
    <t xml:space="preserve">KR exceeded</t>
  </si>
  <si>
    <t xml:space="preserve">Celebrate + set harder next cycle</t>
  </si>
  <si>
    <t xml:space="preserve">70 – 89%</t>
  </si>
  <si>
    <t xml:space="preserve">Good delivery</t>
  </si>
  <si>
    <t xml:space="preserve">Continue, minor adjustments</t>
  </si>
  <si>
    <t xml:space="preserve">40 – 69%</t>
  </si>
  <si>
    <t xml:space="preserve">Partial delivery</t>
  </si>
  <si>
    <t xml:space="preserve">Review resources, blockers, timeline</t>
  </si>
  <si>
    <t xml:space="preserve">0 – 39%</t>
  </si>
  <si>
    <t xml:space="preserve">Significant miss</t>
  </si>
  <si>
    <t xml:space="preserve">Escalate, reset, or cancel the KR</t>
  </si>
  <si>
    <t xml:space="preserve">KR TYPE DEFINITIONS</t>
  </si>
  <si>
    <t xml:space="preserve">Also called Moonshot or Stretch</t>
  </si>
  <si>
    <t xml:space="preserve">Target: 0.7 (Google model)</t>
  </si>
  <si>
    <t xml:space="preserve">Set 3–4x harder than you think is possible</t>
  </si>
  <si>
    <t xml:space="preserve">Never punish missing aspirational KRs</t>
  </si>
  <si>
    <t xml:space="preserve">Must-do, non-negotiable</t>
  </si>
  <si>
    <t xml:space="preserve">Target: 1.0</t>
  </si>
  <si>
    <t xml:space="preserve">These are promises, not aspirations</t>
  </si>
  <si>
    <t xml:space="preserve">Missing a committed KR has consequences</t>
  </si>
  <si>
    <t xml:space="preserve">CONFIDENCE LEVELS</t>
  </si>
  <si>
    <t xml:space="preserve">On track to hit target</t>
  </si>
  <si>
    <t xml:space="preserve">No intervention needed</t>
  </si>
  <si>
    <t xml:space="preserve">Weekly check-in sufficient</t>
  </si>
  <si>
    <t xml:space="preserve">Some risk to delivery</t>
  </si>
  <si>
    <t xml:space="preserve">Monitor weekly</t>
  </si>
  <si>
    <t xml:space="preserve">Blocker identified but manageable</t>
  </si>
  <si>
    <t xml:space="preserve">Significant risk</t>
  </si>
  <si>
    <t xml:space="preserve">Immediate manager attention</t>
  </si>
  <si>
    <t xml:space="preserve">Escalate, add resource, or descope</t>
  </si>
  <si>
    <t xml:space="preserve">🔗  CROSS-FUNCTIONAL OKR DEPENDENCY MAP</t>
  </si>
  <si>
    <t xml:space="preserve">Track which KRs depend on another team delivering. Flag blockers early. Escalate to CHRO if dependency is missed.</t>
  </si>
  <si>
    <t xml:space="preserve">Our KR</t>
  </si>
  <si>
    <t xml:space="preserve">Depends On (KR)</t>
  </si>
  <si>
    <t xml:space="preserve">Our Team</t>
  </si>
  <si>
    <t xml:space="preserve">Delivering Team</t>
  </si>
  <si>
    <t xml:space="preserve">Due Date</t>
  </si>
  <si>
    <t xml:space="preserve">Risk if Missed</t>
  </si>
  <si>
    <t xml:space="preserve">Escalation Path</t>
  </si>
  <si>
    <t xml:space="preserve">500 email signups in 30 days</t>
  </si>
  <si>
    <t xml:space="preserve">Growth</t>
  </si>
  <si>
    <t xml:space="preserve">Engineering</t>
  </si>
  <si>
    <t xml:space="preserve">01 Aug 2026</t>
  </si>
  <si>
    <t xml:space="preserve">Blocked</t>
  </si>
  <si>
    <t xml:space="preserve">Cannot collect emails without tool</t>
  </si>
  <si>
    <t xml:space="preserve">Escalate to CPO</t>
  </si>
  <si>
    <t xml:space="preserve">Founder / Finance</t>
  </si>
  <si>
    <t xml:space="preserve">15 Jun 2026</t>
  </si>
  <si>
    <t xml:space="preserve">In Progress</t>
  </si>
  <si>
    <t xml:space="preserve">Zero paid signups possible</t>
  </si>
  <si>
    <t xml:space="preserve">Founder personal action</t>
  </si>
  <si>
    <t xml:space="preserve">Razorpay KYC + INC 20A filing</t>
  </si>
  <si>
    <t xml:space="preserve">Finance</t>
  </si>
  <si>
    <t xml:space="preserve">Legal / CA</t>
  </si>
  <si>
    <t xml:space="preserve">Vivek / CA</t>
  </si>
  <si>
    <t xml:space="preserve">30 Jun 2026</t>
  </si>
  <si>
    <t xml:space="preserve">Blocked — INC 20A pending</t>
  </si>
  <si>
    <t xml:space="preserve">Zero India revenue</t>
  </si>
  <si>
    <t xml:space="preserve">Escalate to CA</t>
  </si>
  <si>
    <t xml:space="preserve">Ship Conversation Simulator v2</t>
  </si>
  <si>
    <t xml:space="preserve">D-ID API access + budget</t>
  </si>
  <si>
    <t xml:space="preserve">Product</t>
  </si>
  <si>
    <t xml:space="preserve">Founder</t>
  </si>
  <si>
    <t xml:space="preserve">Q4 2026</t>
  </si>
  <si>
    <t xml:space="preserve">Deferred</t>
  </si>
  <si>
    <t xml:space="preserve">Lip-sync feature blocked</t>
  </si>
  <si>
    <t xml:space="preserve">Post-revenue decision</t>
  </si>
  <si>
    <t xml:space="preserve">NPS score 65+</t>
  </si>
  <si>
    <t xml:space="preserve">In-app survey widget</t>
  </si>
  <si>
    <t xml:space="preserve">Not Started</t>
  </si>
  <si>
    <t xml:space="preserve">Cannot measure NPS</t>
  </si>
  <si>
    <t xml:space="preserve">Add to sprint backlog</t>
  </si>
  <si>
    <t xml:space="preserve">📊  FULL OKR CASCADE VIEW  —  Company → Dept → Team → Individual</t>
  </si>
  <si>
    <t xml:space="preserve">Read-only summary. This sheet shows the full 4-level cascade so CHROs can see alignment in one view. Edit data in the individual level sheets.</t>
  </si>
  <si>
    <t xml:space="preserve">KR Score</t>
  </si>
  <si>
    <t xml:space="preserve">SMART %</t>
  </si>
  <si>
    <t xml:space="preserve">Badge</t>
  </si>
  <si>
    <t xml:space="preserve">  ▶  L1 — 🏢 L1 Company OKRs</t>
  </si>
  <si>
    <t xml:space="preserve">L1</t>
  </si>
  <si>
    <t xml:space="preserve">  ▶  L2 — 🏬 L2 Dept OKRs</t>
  </si>
  <si>
    <t xml:space="preserve">L2</t>
  </si>
  <si>
    <t xml:space="preserve">  ▶  L3 — 👥 L3 Team OKRs</t>
  </si>
  <si>
    <t xml:space="preserve">L3</t>
  </si>
  <si>
    <t xml:space="preserve">  ▶  L4 — 👤 L4 Individual</t>
  </si>
  <si>
    <t xml:space="preserve">L4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</si>
</sst>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\%"/>
    <numFmt numFmtId="167" formatCode="0.0\%"/>
    <numFmt numFmtId="168" formatCode="0"/>
    <numFmt numFmtId="169" formatCode="General"/>
    <numFmt numFmtId="170" formatCode="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A5B4FC"/>
      <name val="Arial"/>
      <family val="0"/>
      <charset val="1"/>
    </font>
    <font>
      <b val="true"/>
      <sz val="22"/>
      <color rgb="FFF4F3FF"/>
      <name val="Arial"/>
      <family val="0"/>
      <charset val="1"/>
    </font>
    <font>
      <i val="true"/>
      <sz val="10"/>
      <color rgb="FFA5B4FC"/>
      <name val="Arial"/>
      <family val="0"/>
      <charset val="1"/>
    </font>
    <font>
      <b val="true"/>
      <sz val="10"/>
      <color rgb="FF6366F1"/>
      <name val="Arial"/>
      <family val="0"/>
      <charset val="1"/>
    </font>
    <font>
      <b val="true"/>
      <sz val="10"/>
      <color rgb="FFA5B4FC"/>
      <name val="Arial"/>
      <family val="0"/>
      <charset val="1"/>
    </font>
    <font>
      <sz val="10"/>
      <color rgb="FFF4F3FF"/>
      <name val="Arial"/>
      <family val="0"/>
      <charset val="1"/>
    </font>
    <font>
      <b val="true"/>
      <sz val="14"/>
      <color rgb="FF93C5FD"/>
      <name val="Arial"/>
      <family val="0"/>
      <charset val="1"/>
    </font>
    <font>
      <b val="true"/>
      <sz val="14"/>
      <color rgb="FFD1FAE5"/>
      <name val="Arial"/>
      <family val="0"/>
      <charset val="1"/>
    </font>
    <font>
      <b val="true"/>
      <sz val="14"/>
      <color rgb="FF10B981"/>
      <name val="Arial"/>
      <family val="0"/>
      <charset val="1"/>
    </font>
    <font>
      <b val="true"/>
      <sz val="14"/>
      <color rgb="FFF59E0B"/>
      <name val="Arial"/>
      <family val="0"/>
      <charset val="1"/>
    </font>
    <font>
      <b val="true"/>
      <sz val="14"/>
      <color rgb="FFEF4444"/>
      <name val="Arial"/>
      <family val="0"/>
      <charset val="1"/>
    </font>
    <font>
      <b val="true"/>
      <sz val="14"/>
      <color rgb="FF6366F1"/>
      <name val="Arial"/>
      <family val="0"/>
      <charset val="1"/>
    </font>
    <font>
      <b val="true"/>
      <sz val="14"/>
      <color rgb="FFF4F3FF"/>
      <name val="Arial"/>
      <family val="0"/>
      <charset val="1"/>
    </font>
    <font>
      <i val="true"/>
      <sz val="9"/>
      <color rgb="FFA5B4FC"/>
      <name val="Arial"/>
      <family val="0"/>
      <charset val="1"/>
    </font>
    <font>
      <sz val="10"/>
      <color rgb="FF93C5FD"/>
      <name val="Arial"/>
      <family val="0"/>
      <charset val="1"/>
    </font>
    <font>
      <b val="true"/>
      <sz val="16"/>
      <color rgb="FFF4F3FF"/>
      <name val="Arial"/>
      <family val="0"/>
      <charset val="1"/>
    </font>
    <font>
      <b val="true"/>
      <sz val="9"/>
      <color rgb="FF6366F1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A5B4FC"/>
      <name val="Arial"/>
      <family val="0"/>
      <charset val="1"/>
    </font>
    <font>
      <b val="true"/>
      <sz val="9"/>
      <color rgb="FFF4F3FF"/>
      <name val="Arial"/>
      <family val="0"/>
      <charset val="1"/>
    </font>
    <font>
      <sz val="9"/>
      <color rgb="FF6B6B9A"/>
      <name val="Arial"/>
      <family val="0"/>
      <charset val="1"/>
    </font>
    <font>
      <b val="true"/>
      <sz val="10"/>
      <color rgb="FFD1FAE5"/>
      <name val="Arial"/>
      <family val="0"/>
      <charset val="1"/>
    </font>
    <font>
      <sz val="10"/>
      <color rgb="FFD1FAE5"/>
      <name val="Arial"/>
      <family val="0"/>
      <charset val="1"/>
    </font>
    <font>
      <sz val="9"/>
      <color rgb="FFD1FAE5"/>
      <name val="Arial"/>
      <family val="0"/>
      <charset val="1"/>
    </font>
    <font>
      <b val="true"/>
      <sz val="11"/>
      <color rgb="FFD1FAE5"/>
      <name val="Arial"/>
      <family val="0"/>
      <charset val="1"/>
    </font>
    <font>
      <b val="true"/>
      <sz val="18"/>
      <color rgb="FFF4F3FF"/>
      <name val="Arial"/>
      <family val="0"/>
      <charset val="1"/>
    </font>
    <font>
      <b val="true"/>
      <sz val="10"/>
      <color rgb="FFF4F3FF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0891B2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50410"/>
        <bgColor rgb="FF000000"/>
      </patternFill>
    </fill>
    <fill>
      <patternFill patternType="solid">
        <fgColor rgb="FF6366F1"/>
        <bgColor rgb="FF6B6B9A"/>
      </patternFill>
    </fill>
    <fill>
      <patternFill patternType="solid">
        <fgColor rgb="FF1A1740"/>
        <bgColor rgb="FF11102A"/>
      </patternFill>
    </fill>
    <fill>
      <patternFill patternType="solid">
        <fgColor rgb="FF11102A"/>
        <bgColor rgb="FF0D0B1E"/>
      </patternFill>
    </fill>
    <fill>
      <patternFill patternType="solid">
        <fgColor rgb="FF0D0B1E"/>
        <bgColor rgb="FF11102A"/>
      </patternFill>
    </fill>
    <fill>
      <patternFill patternType="solid">
        <fgColor rgb="FF2D2B52"/>
        <bgColor rgb="FF1A1740"/>
      </patternFill>
    </fill>
    <fill>
      <patternFill patternType="solid">
        <fgColor rgb="FF7C3AED"/>
        <bgColor rgb="FF6366F1"/>
      </patternFill>
    </fill>
    <fill>
      <patternFill patternType="solid">
        <fgColor rgb="FF0891B2"/>
        <bgColor rgb="FF059669"/>
      </patternFill>
    </fill>
    <fill>
      <patternFill patternType="solid">
        <fgColor rgb="FF059669"/>
        <bgColor rgb="FF0891B2"/>
      </patternFill>
    </fill>
    <fill>
      <patternFill patternType="solid">
        <fgColor rgb="FF10B981"/>
        <bgColor rgb="FF059669"/>
      </patternFill>
    </fill>
    <fill>
      <patternFill patternType="solid">
        <fgColor rgb="FFF59E0B"/>
        <bgColor rgb="FFFFCC00"/>
      </patternFill>
    </fill>
    <fill>
      <patternFill patternType="solid">
        <fgColor rgb="FF38BDF8"/>
        <bgColor rgb="FF00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6366F1"/>
      </left>
      <right/>
      <top style="thin">
        <color rgb="FF6366F1"/>
      </top>
      <bottom style="thin">
        <color rgb="FF6366F1"/>
      </bottom>
      <diagonal/>
    </border>
    <border diagonalUp="false" diagonalDown="false">
      <left style="thin">
        <color rgb="FF2D2B52"/>
      </left>
      <right/>
      <top style="thin">
        <color rgb="FF2D2B52"/>
      </top>
      <bottom style="thin">
        <color rgb="FF2D2B52"/>
      </bottom>
      <diagonal/>
    </border>
    <border diagonalUp="false" diagonalDown="false">
      <left style="thin">
        <color rgb="FF2D2B52"/>
      </left>
      <right style="thin">
        <color rgb="FF2D2B52"/>
      </right>
      <top style="thin">
        <color rgb="FF2D2B52"/>
      </top>
      <bottom style="thin">
        <color rgb="FF2D2B52"/>
      </bottom>
      <diagonal/>
    </border>
    <border diagonalUp="false" diagonalDown="false"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 diagonalUp="false" diagonalDown="false">
      <left style="thin">
        <color rgb="FF7C3AED"/>
      </left>
      <right/>
      <top style="thin">
        <color rgb="FF7C3AED"/>
      </top>
      <bottom style="thin">
        <color rgb="FF7C3AED"/>
      </bottom>
      <diagonal/>
    </border>
    <border diagonalUp="false" diagonalDown="false">
      <left style="thin">
        <color rgb="FF0891B2"/>
      </left>
      <right/>
      <top style="thin">
        <color rgb="FF0891B2"/>
      </top>
      <bottom style="thin">
        <color rgb="FF0891B2"/>
      </bottom>
      <diagonal/>
    </border>
    <border diagonalUp="false" diagonalDown="false">
      <left style="thin">
        <color rgb="FF10B981"/>
      </left>
      <right/>
      <top style="thin">
        <color rgb="FF10B981"/>
      </top>
      <bottom style="thin">
        <color rgb="FF10B98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3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B1E"/>
      <rgbColor rgb="FF808000"/>
      <rgbColor rgb="FF800080"/>
      <rgbColor rgb="FF059669"/>
      <rgbColor rgb="FFC0C0C0"/>
      <rgbColor rgb="FF808080"/>
      <rgbColor rgb="FFA5B4FC"/>
      <rgbColor rgb="FF7C3AED"/>
      <rgbColor rgb="FFFFFFCC"/>
      <rgbColor rgb="FFCCFFFF"/>
      <rgbColor rgb="FF660066"/>
      <rgbColor rgb="FFFF8080"/>
      <rgbColor rgb="FF0066CC"/>
      <rgbColor rgb="FFCCCCFF"/>
      <rgbColor rgb="FF05041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CCFFFF"/>
      <rgbColor rgb="FFD1FAE5"/>
      <rgbColor rgb="FFFFFF99"/>
      <rgbColor rgb="FF93C5FD"/>
      <rgbColor rgb="FFFF99CC"/>
      <rgbColor rgb="FFCC99FF"/>
      <rgbColor rgb="FFFFCC99"/>
      <rgbColor rgb="FF6366F1"/>
      <rgbColor rgb="FF38BDF8"/>
      <rgbColor rgb="FF99CC00"/>
      <rgbColor rgb="FFFFCC00"/>
      <rgbColor rgb="FFF59E0B"/>
      <rgbColor rgb="FFEF4444"/>
      <rgbColor rgb="FF6B6B9A"/>
      <rgbColor rgb="FF969696"/>
      <rgbColor rgb="FF1A1740"/>
      <rgbColor rgb="FF10B981"/>
      <rgbColor rgb="FF11102A"/>
      <rgbColor rgb="FF333300"/>
      <rgbColor rgb="FF993300"/>
      <rgbColor rgb="FF993366"/>
      <rgbColor rgb="FF333399"/>
      <rgbColor rgb="FF2D2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1:P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45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21.7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/>
    </row>
    <row r="5" customFormat="false" ht="3" hidden="false" customHeight="tru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24" hidden="false" customHeight="true" outlineLevel="0" collapsed="false">
      <c r="A7" s="1"/>
      <c r="B7" s="6" t="s"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"/>
    </row>
    <row r="8" customFormat="false" ht="21.75" hidden="false" customHeight="true" outlineLevel="0" collapsed="false">
      <c r="A8" s="1"/>
      <c r="B8" s="7" t="s">
        <v>4</v>
      </c>
      <c r="C8" s="7"/>
      <c r="D8" s="7"/>
      <c r="E8" s="7"/>
      <c r="F8" s="8" t="s">
        <v>5</v>
      </c>
      <c r="G8" s="8"/>
      <c r="H8" s="8"/>
      <c r="I8" s="8"/>
      <c r="J8" s="8"/>
      <c r="K8" s="8"/>
      <c r="L8" s="8"/>
      <c r="M8" s="8"/>
      <c r="N8" s="8"/>
      <c r="O8" s="8"/>
      <c r="P8" s="1"/>
    </row>
    <row r="9" customFormat="false" ht="21.75" hidden="false" customHeight="true" outlineLevel="0" collapsed="false">
      <c r="A9" s="1"/>
      <c r="B9" s="7" t="s">
        <v>6</v>
      </c>
      <c r="C9" s="7"/>
      <c r="D9" s="7"/>
      <c r="E9" s="7"/>
      <c r="F9" s="8" t="s">
        <v>7</v>
      </c>
      <c r="G9" s="8"/>
      <c r="H9" s="8"/>
      <c r="I9" s="8"/>
      <c r="J9" s="8"/>
      <c r="K9" s="8"/>
      <c r="L9" s="8"/>
      <c r="M9" s="8"/>
      <c r="N9" s="8"/>
      <c r="O9" s="8"/>
      <c r="P9" s="1"/>
    </row>
    <row r="10" customFormat="false" ht="21.75" hidden="false" customHeight="true" outlineLevel="0" collapsed="false">
      <c r="A10" s="1"/>
      <c r="B10" s="7" t="s">
        <v>8</v>
      </c>
      <c r="C10" s="7"/>
      <c r="D10" s="7"/>
      <c r="E10" s="7"/>
      <c r="F10" s="8" t="s">
        <v>9</v>
      </c>
      <c r="G10" s="8"/>
      <c r="H10" s="8"/>
      <c r="I10" s="8"/>
      <c r="J10" s="8"/>
      <c r="K10" s="8"/>
      <c r="L10" s="8"/>
      <c r="M10" s="8"/>
      <c r="N10" s="8"/>
      <c r="O10" s="8"/>
      <c r="P10" s="1"/>
    </row>
    <row r="11" customFormat="false" ht="21.75" hidden="false" customHeight="true" outlineLevel="0" collapsed="false">
      <c r="A11" s="1"/>
      <c r="B11" s="7" t="s">
        <v>10</v>
      </c>
      <c r="C11" s="7"/>
      <c r="D11" s="7"/>
      <c r="E11" s="7"/>
      <c r="F11" s="8" t="s">
        <v>11</v>
      </c>
      <c r="G11" s="8"/>
      <c r="H11" s="8"/>
      <c r="I11" s="8"/>
      <c r="J11" s="8"/>
      <c r="K11" s="8"/>
      <c r="L11" s="8"/>
      <c r="M11" s="8"/>
      <c r="N11" s="8"/>
      <c r="O11" s="8"/>
      <c r="P11" s="1"/>
    </row>
    <row r="12" customFormat="false" ht="21.75" hidden="false" customHeight="true" outlineLevel="0" collapsed="false">
      <c r="A12" s="1"/>
      <c r="B12" s="7" t="s">
        <v>12</v>
      </c>
      <c r="C12" s="7"/>
      <c r="D12" s="7"/>
      <c r="E12" s="7"/>
      <c r="F12" s="8" t="s">
        <v>13</v>
      </c>
      <c r="G12" s="8"/>
      <c r="H12" s="8"/>
      <c r="I12" s="8"/>
      <c r="J12" s="8"/>
      <c r="K12" s="8"/>
      <c r="L12" s="8"/>
      <c r="M12" s="8"/>
      <c r="N12" s="8"/>
      <c r="O12" s="8"/>
      <c r="P12" s="1"/>
    </row>
    <row r="13" customFormat="false" ht="21.75" hidden="false" customHeight="true" outlineLevel="0" collapsed="false">
      <c r="A13" s="1"/>
      <c r="B13" s="7" t="s">
        <v>14</v>
      </c>
      <c r="C13" s="7"/>
      <c r="D13" s="7"/>
      <c r="E13" s="7"/>
      <c r="F13" s="8" t="s">
        <v>15</v>
      </c>
      <c r="G13" s="8"/>
      <c r="H13" s="8"/>
      <c r="I13" s="8"/>
      <c r="J13" s="8"/>
      <c r="K13" s="8"/>
      <c r="L13" s="8"/>
      <c r="M13" s="8"/>
      <c r="N13" s="8"/>
      <c r="O13" s="8"/>
      <c r="P13" s="1"/>
    </row>
    <row r="14" customFormat="false" ht="21.75" hidden="false" customHeight="true" outlineLevel="0" collapsed="false">
      <c r="A14" s="1"/>
      <c r="B14" s="7" t="s">
        <v>16</v>
      </c>
      <c r="C14" s="7"/>
      <c r="D14" s="7"/>
      <c r="E14" s="7"/>
      <c r="F14" s="8" t="s">
        <v>17</v>
      </c>
      <c r="G14" s="8"/>
      <c r="H14" s="8"/>
      <c r="I14" s="8"/>
      <c r="J14" s="8"/>
      <c r="K14" s="8"/>
      <c r="L14" s="8"/>
      <c r="M14" s="8"/>
      <c r="N14" s="8"/>
      <c r="O14" s="8"/>
      <c r="P14" s="1"/>
    </row>
    <row r="15" customFormat="false" ht="21.75" hidden="false" customHeight="true" outlineLevel="0" collapsed="false">
      <c r="A15" s="1"/>
      <c r="B15" s="7" t="s">
        <v>18</v>
      </c>
      <c r="C15" s="7"/>
      <c r="D15" s="7"/>
      <c r="E15" s="7"/>
      <c r="F15" s="8" t="s">
        <v>19</v>
      </c>
      <c r="G15" s="8"/>
      <c r="H15" s="8"/>
      <c r="I15" s="8"/>
      <c r="J15" s="8"/>
      <c r="K15" s="8"/>
      <c r="L15" s="8"/>
      <c r="M15" s="8"/>
      <c r="N15" s="8"/>
      <c r="O15" s="8"/>
      <c r="P15" s="1"/>
    </row>
    <row r="16" customFormat="false" ht="21.75" hidden="false" customHeight="true" outlineLevel="0" collapsed="false">
      <c r="A16" s="1"/>
      <c r="B16" s="7" t="s">
        <v>20</v>
      </c>
      <c r="C16" s="7"/>
      <c r="D16" s="7"/>
      <c r="E16" s="7"/>
      <c r="F16" s="8" t="s">
        <v>21</v>
      </c>
      <c r="G16" s="8"/>
      <c r="H16" s="8"/>
      <c r="I16" s="8"/>
      <c r="J16" s="8"/>
      <c r="K16" s="8"/>
      <c r="L16" s="8"/>
      <c r="M16" s="8"/>
      <c r="N16" s="8"/>
      <c r="O16" s="8"/>
      <c r="P16" s="1"/>
    </row>
    <row r="17" customFormat="false" ht="21.75" hidden="false" customHeight="true" outlineLevel="0" collapsed="false">
      <c r="A17" s="1"/>
      <c r="B17" s="7" t="s">
        <v>22</v>
      </c>
      <c r="C17" s="7"/>
      <c r="D17" s="7"/>
      <c r="E17" s="7"/>
      <c r="F17" s="8" t="s">
        <v>23</v>
      </c>
      <c r="G17" s="8"/>
      <c r="H17" s="8"/>
      <c r="I17" s="8"/>
      <c r="J17" s="8"/>
      <c r="K17" s="8"/>
      <c r="L17" s="8"/>
      <c r="M17" s="8"/>
      <c r="N17" s="8"/>
      <c r="O17" s="8"/>
      <c r="P17" s="1"/>
    </row>
    <row r="18" customFormat="false" ht="21.75" hidden="false" customHeight="true" outlineLevel="0" collapsed="false">
      <c r="A18" s="1"/>
      <c r="B18" s="7" t="s">
        <v>24</v>
      </c>
      <c r="C18" s="7"/>
      <c r="D18" s="7"/>
      <c r="E18" s="7"/>
      <c r="F18" s="8" t="s">
        <v>25</v>
      </c>
      <c r="G18" s="8"/>
      <c r="H18" s="8"/>
      <c r="I18" s="8"/>
      <c r="J18" s="8"/>
      <c r="K18" s="8"/>
      <c r="L18" s="8"/>
      <c r="M18" s="8"/>
      <c r="N18" s="8"/>
      <c r="O18" s="8"/>
      <c r="P18" s="1"/>
    </row>
    <row r="19" customFormat="false" ht="21.75" hidden="false" customHeight="true" outlineLevel="0" collapsed="false">
      <c r="A19" s="1"/>
      <c r="B19" s="7" t="s">
        <v>26</v>
      </c>
      <c r="C19" s="7"/>
      <c r="D19" s="7"/>
      <c r="E19" s="7"/>
      <c r="F19" s="8" t="s">
        <v>27</v>
      </c>
      <c r="G19" s="8"/>
      <c r="H19" s="8"/>
      <c r="I19" s="8"/>
      <c r="J19" s="8"/>
      <c r="K19" s="8"/>
      <c r="L19" s="8"/>
      <c r="M19" s="8"/>
      <c r="N19" s="8"/>
      <c r="O19" s="8"/>
      <c r="P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2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24" hidden="false" customHeight="true" outlineLevel="0" collapsed="false">
      <c r="A22" s="1"/>
      <c r="B22" s="6" t="s">
        <v>28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"/>
    </row>
    <row r="23" customFormat="false" ht="19.5" hidden="false" customHeight="true" outlineLevel="0" collapsed="false">
      <c r="A23" s="1"/>
      <c r="B23" s="9" t="s">
        <v>29</v>
      </c>
      <c r="C23" s="8" t="s">
        <v>30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"/>
    </row>
    <row r="24" customFormat="false" ht="19.5" hidden="false" customHeight="true" outlineLevel="0" collapsed="false">
      <c r="A24" s="1"/>
      <c r="B24" s="10" t="s">
        <v>29</v>
      </c>
      <c r="C24" s="8" t="s">
        <v>31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"/>
    </row>
    <row r="25" customFormat="false" ht="19.5" hidden="false" customHeight="true" outlineLevel="0" collapsed="false">
      <c r="A25" s="1"/>
      <c r="B25" s="11" t="s">
        <v>29</v>
      </c>
      <c r="C25" s="8" t="s">
        <v>32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"/>
    </row>
    <row r="26" customFormat="false" ht="19.5" hidden="false" customHeight="true" outlineLevel="0" collapsed="false">
      <c r="A26" s="1"/>
      <c r="B26" s="12" t="s">
        <v>29</v>
      </c>
      <c r="C26" s="8" t="s">
        <v>33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"/>
    </row>
    <row r="27" customFormat="false" ht="19.5" hidden="false" customHeight="true" outlineLevel="0" collapsed="false">
      <c r="A27" s="1"/>
      <c r="B27" s="13" t="s">
        <v>29</v>
      </c>
      <c r="C27" s="8" t="s">
        <v>34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"/>
    </row>
    <row r="28" customFormat="false" ht="19.5" hidden="false" customHeight="true" outlineLevel="0" collapsed="false">
      <c r="A28" s="1"/>
      <c r="B28" s="14" t="s">
        <v>29</v>
      </c>
      <c r="C28" s="8" t="s">
        <v>35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36">
    <mergeCell ref="B2:O2"/>
    <mergeCell ref="B3:O3"/>
    <mergeCell ref="B4:O4"/>
    <mergeCell ref="B5:O5"/>
    <mergeCell ref="B7:O7"/>
    <mergeCell ref="B8:E8"/>
    <mergeCell ref="F8:O8"/>
    <mergeCell ref="B9:E9"/>
    <mergeCell ref="F9:O9"/>
    <mergeCell ref="B10:E10"/>
    <mergeCell ref="F10:O10"/>
    <mergeCell ref="B11:E11"/>
    <mergeCell ref="F11:O11"/>
    <mergeCell ref="B12:E12"/>
    <mergeCell ref="F12:O12"/>
    <mergeCell ref="B13:E13"/>
    <mergeCell ref="F13:O13"/>
    <mergeCell ref="B14:E14"/>
    <mergeCell ref="F14:O14"/>
    <mergeCell ref="B15:E15"/>
    <mergeCell ref="F15:O15"/>
    <mergeCell ref="B16:E16"/>
    <mergeCell ref="F16:O16"/>
    <mergeCell ref="B17:E17"/>
    <mergeCell ref="F17:O17"/>
    <mergeCell ref="B18:E18"/>
    <mergeCell ref="F18:O18"/>
    <mergeCell ref="B19:E19"/>
    <mergeCell ref="F19:O19"/>
    <mergeCell ref="B22:O22"/>
    <mergeCell ref="C23:O23"/>
    <mergeCell ref="C24:O24"/>
    <mergeCell ref="C25:O25"/>
    <mergeCell ref="C26:O26"/>
    <mergeCell ref="C27:O27"/>
    <mergeCell ref="C28:O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52"/>
    <pageSetUpPr fitToPage="false"/>
  </sheetPr>
  <dimension ref="A1:L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12" min="4" style="0" width="20"/>
  </cols>
  <sheetData>
    <row r="1" customFormat="false" ht="27.75" hidden="false" customHeight="true" outlineLevel="0" collapsed="false">
      <c r="A1" s="1"/>
      <c r="B1" s="15" t="s">
        <v>36</v>
      </c>
      <c r="C1" s="15"/>
      <c r="D1" s="15"/>
      <c r="E1" s="15"/>
      <c r="F1" s="15"/>
      <c r="G1" s="15"/>
      <c r="H1" s="15"/>
      <c r="I1" s="15"/>
      <c r="J1" s="1"/>
      <c r="K1" s="1"/>
      <c r="L1" s="1"/>
    </row>
    <row r="2" customFormat="false" ht="18" hidden="false" customHeight="true" outlineLevel="0" collapsed="false">
      <c r="A2" s="1"/>
      <c r="B2" s="16" t="s">
        <v>37</v>
      </c>
      <c r="C2" s="16"/>
      <c r="D2" s="16"/>
      <c r="E2" s="16"/>
      <c r="F2" s="16"/>
      <c r="G2" s="16"/>
      <c r="H2" s="16"/>
      <c r="I2" s="16"/>
      <c r="J2" s="1"/>
      <c r="K2" s="1"/>
      <c r="L2" s="1"/>
    </row>
    <row r="3" customFormat="false" ht="21.75" hidden="false" customHeight="true" outlineLevel="0" collapsed="false">
      <c r="A3" s="1"/>
      <c r="B3" s="17" t="s">
        <v>38</v>
      </c>
      <c r="C3" s="17"/>
      <c r="D3" s="17"/>
      <c r="E3" s="17"/>
      <c r="F3" s="17"/>
      <c r="G3" s="17"/>
      <c r="H3" s="17"/>
      <c r="I3" s="17"/>
      <c r="J3" s="1"/>
      <c r="K3" s="1"/>
      <c r="L3" s="1"/>
    </row>
    <row r="4" customFormat="false" ht="21.75" hidden="false" customHeight="true" outlineLevel="0" collapsed="false">
      <c r="A4" s="1"/>
      <c r="B4" s="18" t="s">
        <v>39</v>
      </c>
      <c r="C4" s="19" t="s">
        <v>40</v>
      </c>
      <c r="D4" s="19"/>
      <c r="E4" s="19"/>
      <c r="F4" s="19"/>
      <c r="G4" s="19"/>
      <c r="H4" s="19"/>
      <c r="I4" s="19"/>
      <c r="J4" s="1"/>
      <c r="K4" s="1"/>
      <c r="L4" s="1"/>
    </row>
    <row r="5" customFormat="false" ht="21.75" hidden="false" customHeight="true" outlineLevel="0" collapsed="false">
      <c r="A5" s="1"/>
      <c r="B5" s="20" t="s">
        <v>41</v>
      </c>
      <c r="C5" s="21" t="s">
        <v>42</v>
      </c>
      <c r="D5" s="21"/>
      <c r="E5" s="21"/>
      <c r="F5" s="21"/>
      <c r="G5" s="21"/>
      <c r="H5" s="21"/>
      <c r="I5" s="21"/>
      <c r="J5" s="1"/>
      <c r="K5" s="1"/>
      <c r="L5" s="1"/>
    </row>
    <row r="6" customFormat="false" ht="21.75" hidden="false" customHeight="true" outlineLevel="0" collapsed="false">
      <c r="A6" s="1"/>
      <c r="B6" s="18" t="s">
        <v>43</v>
      </c>
      <c r="C6" s="19" t="s">
        <v>44</v>
      </c>
      <c r="D6" s="19"/>
      <c r="E6" s="19"/>
      <c r="F6" s="19"/>
      <c r="G6" s="19"/>
      <c r="H6" s="19"/>
      <c r="I6" s="19"/>
      <c r="J6" s="1"/>
      <c r="K6" s="1"/>
      <c r="L6" s="1"/>
    </row>
    <row r="7" customFormat="false" ht="21.75" hidden="false" customHeight="true" outlineLevel="0" collapsed="false">
      <c r="A7" s="1"/>
      <c r="B7" s="20" t="s">
        <v>45</v>
      </c>
      <c r="C7" s="21" t="s">
        <v>46</v>
      </c>
      <c r="D7" s="21"/>
      <c r="E7" s="21"/>
      <c r="F7" s="21"/>
      <c r="G7" s="21"/>
      <c r="H7" s="21"/>
      <c r="I7" s="21"/>
      <c r="J7" s="1"/>
      <c r="K7" s="1"/>
      <c r="L7" s="1"/>
    </row>
    <row r="8" customFormat="false" ht="21.75" hidden="false" customHeight="true" outlineLevel="0" collapsed="false">
      <c r="A8" s="1"/>
      <c r="B8" s="18" t="s">
        <v>47</v>
      </c>
      <c r="C8" s="19" t="n">
        <v>50</v>
      </c>
      <c r="D8" s="19"/>
      <c r="E8" s="19"/>
      <c r="F8" s="19"/>
      <c r="G8" s="19"/>
      <c r="H8" s="19"/>
      <c r="I8" s="19"/>
      <c r="J8" s="1"/>
      <c r="K8" s="1"/>
      <c r="L8" s="1"/>
    </row>
    <row r="9" customFormat="false" ht="21.75" hidden="false" customHeight="true" outlineLevel="0" collapsed="false">
      <c r="A9" s="1"/>
      <c r="B9" s="20" t="s">
        <v>48</v>
      </c>
      <c r="C9" s="21" t="s">
        <v>49</v>
      </c>
      <c r="D9" s="21"/>
      <c r="E9" s="21"/>
      <c r="F9" s="21"/>
      <c r="G9" s="21"/>
      <c r="H9" s="21"/>
      <c r="I9" s="21"/>
      <c r="J9" s="1"/>
      <c r="K9" s="1"/>
      <c r="L9" s="1"/>
    </row>
    <row r="10" customFormat="false" ht="21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21.75" hidden="false" customHeight="true" outlineLevel="0" collapsed="false">
      <c r="A11" s="1"/>
      <c r="B11" s="17" t="s">
        <v>50</v>
      </c>
      <c r="C11" s="17"/>
      <c r="D11" s="17"/>
      <c r="E11" s="17"/>
      <c r="F11" s="17"/>
      <c r="G11" s="17"/>
      <c r="H11" s="17"/>
      <c r="I11" s="17"/>
      <c r="J11" s="1"/>
      <c r="K11" s="1"/>
      <c r="L11" s="1"/>
    </row>
    <row r="12" customFormat="false" ht="21.75" hidden="false" customHeight="true" outlineLevel="0" collapsed="false">
      <c r="A12" s="1"/>
      <c r="B12" s="18" t="s">
        <v>51</v>
      </c>
      <c r="C12" s="19" t="s">
        <v>52</v>
      </c>
      <c r="D12" s="19"/>
      <c r="E12" s="19"/>
      <c r="F12" s="19"/>
      <c r="G12" s="19"/>
      <c r="H12" s="19"/>
      <c r="I12" s="19"/>
      <c r="J12" s="1"/>
      <c r="K12" s="1"/>
      <c r="L12" s="1"/>
    </row>
    <row r="13" customFormat="false" ht="21.75" hidden="false" customHeight="true" outlineLevel="0" collapsed="false">
      <c r="A13" s="1"/>
      <c r="B13" s="20" t="s">
        <v>53</v>
      </c>
      <c r="C13" s="21" t="n">
        <v>0.7</v>
      </c>
      <c r="D13" s="21"/>
      <c r="E13" s="21"/>
      <c r="F13" s="21"/>
      <c r="G13" s="21"/>
      <c r="H13" s="21"/>
      <c r="I13" s="21"/>
      <c r="J13" s="1"/>
      <c r="K13" s="1"/>
      <c r="L13" s="1"/>
    </row>
    <row r="14" customFormat="false" ht="21.75" hidden="false" customHeight="true" outlineLevel="0" collapsed="false">
      <c r="A14" s="1"/>
      <c r="B14" s="18" t="s">
        <v>54</v>
      </c>
      <c r="C14" s="19" t="n">
        <v>1</v>
      </c>
      <c r="D14" s="19"/>
      <c r="E14" s="19"/>
      <c r="F14" s="19"/>
      <c r="G14" s="19"/>
      <c r="H14" s="19"/>
      <c r="I14" s="19"/>
      <c r="J14" s="1"/>
      <c r="K14" s="1"/>
      <c r="L14" s="1"/>
    </row>
    <row r="15" customFormat="false" ht="21.75" hidden="false" customHeight="true" outlineLevel="0" collapsed="false">
      <c r="A15" s="1"/>
      <c r="B15" s="20" t="s">
        <v>55</v>
      </c>
      <c r="C15" s="21"/>
      <c r="D15" s="21"/>
      <c r="E15" s="21"/>
      <c r="F15" s="21"/>
      <c r="G15" s="21"/>
      <c r="H15" s="21"/>
      <c r="I15" s="21"/>
      <c r="J15" s="1"/>
      <c r="K15" s="1"/>
      <c r="L15" s="1"/>
    </row>
    <row r="16" customFormat="false" ht="21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1.75" hidden="false" customHeight="true" outlineLevel="0" collapsed="false">
      <c r="A17" s="1"/>
      <c r="B17" s="17" t="s">
        <v>56</v>
      </c>
      <c r="C17" s="17"/>
      <c r="D17" s="17"/>
      <c r="E17" s="17"/>
      <c r="F17" s="17"/>
      <c r="G17" s="17"/>
      <c r="H17" s="17"/>
      <c r="I17" s="17"/>
      <c r="J17" s="1"/>
      <c r="K17" s="1"/>
      <c r="L17" s="1"/>
    </row>
    <row r="18" customFormat="false" ht="21.75" hidden="false" customHeight="true" outlineLevel="0" collapsed="false">
      <c r="A18" s="1"/>
      <c r="B18" s="18" t="s">
        <v>57</v>
      </c>
      <c r="C18" s="19" t="s">
        <v>58</v>
      </c>
      <c r="D18" s="19"/>
      <c r="E18" s="19"/>
      <c r="F18" s="19"/>
      <c r="G18" s="19"/>
      <c r="H18" s="19"/>
      <c r="I18" s="19"/>
      <c r="J18" s="1"/>
      <c r="K18" s="1"/>
      <c r="L18" s="1"/>
    </row>
    <row r="19" customFormat="false" ht="21.75" hidden="false" customHeight="true" outlineLevel="0" collapsed="false">
      <c r="A19" s="1"/>
      <c r="B19" s="20" t="s">
        <v>59</v>
      </c>
      <c r="C19" s="21" t="s">
        <v>60</v>
      </c>
      <c r="D19" s="21"/>
      <c r="E19" s="21"/>
      <c r="F19" s="21"/>
      <c r="G19" s="21"/>
      <c r="H19" s="21"/>
      <c r="I19" s="21"/>
      <c r="J19" s="1"/>
      <c r="K19" s="1"/>
      <c r="L19" s="1"/>
    </row>
    <row r="20" customFormat="false" ht="21.75" hidden="false" customHeight="true" outlineLevel="0" collapsed="false">
      <c r="A20" s="1"/>
      <c r="B20" s="18" t="s">
        <v>61</v>
      </c>
      <c r="C20" s="19" t="n">
        <v>4</v>
      </c>
      <c r="D20" s="19"/>
      <c r="E20" s="19"/>
      <c r="F20" s="19"/>
      <c r="G20" s="19"/>
      <c r="H20" s="19"/>
      <c r="I20" s="19"/>
      <c r="J20" s="1"/>
      <c r="K20" s="1"/>
      <c r="L20" s="1"/>
    </row>
    <row r="21" customFormat="false" ht="21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21.75" hidden="false" customHeight="true" outlineLevel="0" collapsed="false">
      <c r="A22" s="1"/>
      <c r="B22" s="17" t="s">
        <v>62</v>
      </c>
      <c r="C22" s="17"/>
      <c r="D22" s="17"/>
      <c r="E22" s="17"/>
      <c r="F22" s="17"/>
      <c r="G22" s="17"/>
      <c r="H22" s="17"/>
      <c r="I22" s="17"/>
      <c r="J22" s="1"/>
      <c r="K22" s="1"/>
      <c r="L22" s="1"/>
    </row>
    <row r="23" customFormat="false" ht="21.75" hidden="false" customHeight="true" outlineLevel="0" collapsed="false">
      <c r="A23" s="1"/>
      <c r="B23" s="20" t="s">
        <v>63</v>
      </c>
      <c r="C23" s="21" t="s">
        <v>64</v>
      </c>
      <c r="D23" s="21"/>
      <c r="E23" s="21"/>
      <c r="F23" s="21"/>
      <c r="G23" s="21"/>
      <c r="H23" s="21"/>
      <c r="I23" s="21"/>
      <c r="J23" s="1"/>
      <c r="K23" s="1"/>
      <c r="L23" s="1"/>
    </row>
    <row r="24" customFormat="false" ht="21.75" hidden="false" customHeight="true" outlineLevel="0" collapsed="false">
      <c r="A24" s="1"/>
      <c r="B24" s="18" t="s">
        <v>65</v>
      </c>
      <c r="C24" s="19" t="s">
        <v>66</v>
      </c>
      <c r="D24" s="19"/>
      <c r="E24" s="19"/>
      <c r="F24" s="19"/>
      <c r="G24" s="19"/>
      <c r="H24" s="19"/>
      <c r="I24" s="19"/>
      <c r="J24" s="1"/>
      <c r="K24" s="1"/>
      <c r="L24" s="1"/>
    </row>
    <row r="25" customFormat="false" ht="21.75" hidden="false" customHeight="true" outlineLevel="0" collapsed="false">
      <c r="A25" s="1"/>
      <c r="B25" s="20" t="s">
        <v>67</v>
      </c>
      <c r="C25" s="21" t="s">
        <v>68</v>
      </c>
      <c r="D25" s="21"/>
      <c r="E25" s="21"/>
      <c r="F25" s="21"/>
      <c r="G25" s="21"/>
      <c r="H25" s="21"/>
      <c r="I25" s="21"/>
      <c r="J25" s="1"/>
      <c r="K25" s="1"/>
      <c r="L25" s="1"/>
    </row>
    <row r="26" customFormat="false" ht="21.75" hidden="false" customHeight="true" outlineLevel="0" collapsed="false">
      <c r="A26" s="1"/>
      <c r="B26" s="18" t="s">
        <v>69</v>
      </c>
      <c r="C26" s="19" t="s">
        <v>70</v>
      </c>
      <c r="D26" s="19"/>
      <c r="E26" s="19"/>
      <c r="F26" s="19"/>
      <c r="G26" s="19"/>
      <c r="H26" s="19"/>
      <c r="I26" s="19"/>
      <c r="J26" s="1"/>
      <c r="K26" s="1"/>
      <c r="L26" s="1"/>
    </row>
    <row r="27" customFormat="false" ht="21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21.75" hidden="false" customHeight="true" outlineLevel="0" collapsed="false">
      <c r="A28" s="1"/>
      <c r="B28" s="18" t="s">
        <v>71</v>
      </c>
      <c r="C28" s="19"/>
      <c r="D28" s="19"/>
      <c r="E28" s="19"/>
      <c r="F28" s="19"/>
      <c r="G28" s="19"/>
      <c r="H28" s="19"/>
      <c r="I28" s="19"/>
      <c r="J28" s="1"/>
      <c r="K28" s="1"/>
      <c r="L28" s="1"/>
    </row>
    <row r="29" customFormat="false" ht="21.75" hidden="false" customHeight="true" outlineLevel="0" collapsed="false">
      <c r="A29" s="1"/>
      <c r="B29" s="20" t="s">
        <v>72</v>
      </c>
      <c r="C29" s="21" t="s">
        <v>73</v>
      </c>
      <c r="D29" s="21"/>
      <c r="E29" s="21"/>
      <c r="F29" s="21"/>
      <c r="G29" s="21"/>
      <c r="H29" s="21"/>
      <c r="I29" s="21"/>
      <c r="J29" s="1"/>
      <c r="K29" s="1"/>
      <c r="L29" s="1"/>
    </row>
    <row r="30" customFormat="false" ht="21.75" hidden="false" customHeight="true" outlineLevel="0" collapsed="false">
      <c r="A30" s="1"/>
      <c r="B30" s="18" t="s">
        <v>74</v>
      </c>
      <c r="C30" s="19" t="s">
        <v>75</v>
      </c>
      <c r="D30" s="19"/>
      <c r="E30" s="19"/>
      <c r="F30" s="19"/>
      <c r="G30" s="19"/>
      <c r="H30" s="19"/>
      <c r="I30" s="19"/>
      <c r="J30" s="1"/>
      <c r="K30" s="1"/>
      <c r="L30" s="1"/>
    </row>
    <row r="31" customFormat="false" ht="21.75" hidden="false" customHeight="true" outlineLevel="0" collapsed="false">
      <c r="A31" s="1"/>
      <c r="B31" s="20" t="s">
        <v>76</v>
      </c>
      <c r="C31" s="21" t="s">
        <v>77</v>
      </c>
      <c r="D31" s="21"/>
      <c r="E31" s="21"/>
      <c r="F31" s="21"/>
      <c r="G31" s="21"/>
      <c r="H31" s="21"/>
      <c r="I31" s="21"/>
      <c r="J31" s="1"/>
      <c r="K31" s="1"/>
      <c r="L31" s="1"/>
    </row>
    <row r="32" customFormat="false" ht="21.75" hidden="false" customHeight="true" outlineLevel="0" collapsed="false">
      <c r="A32" s="1"/>
      <c r="B32" s="18" t="s">
        <v>78</v>
      </c>
      <c r="C32" s="19" t="s">
        <v>79</v>
      </c>
      <c r="D32" s="19"/>
      <c r="E32" s="19"/>
      <c r="F32" s="19"/>
      <c r="G32" s="19"/>
      <c r="H32" s="19"/>
      <c r="I32" s="19"/>
      <c r="J32" s="1"/>
      <c r="K32" s="1"/>
      <c r="L32" s="1"/>
    </row>
    <row r="33" customFormat="false" ht="21.75" hidden="false" customHeight="true" outlineLevel="0" collapsed="false">
      <c r="A33" s="1"/>
      <c r="B33" s="20" t="s">
        <v>80</v>
      </c>
      <c r="C33" s="21" t="s">
        <v>81</v>
      </c>
      <c r="D33" s="21"/>
      <c r="E33" s="21"/>
      <c r="F33" s="21"/>
      <c r="G33" s="21"/>
      <c r="H33" s="21"/>
      <c r="I33" s="21"/>
      <c r="J33" s="1"/>
      <c r="K33" s="1"/>
      <c r="L33" s="1"/>
    </row>
    <row r="34" customFormat="false" ht="21.75" hidden="false" customHeight="true" outlineLevel="0" collapsed="false">
      <c r="A34" s="1"/>
      <c r="B34" s="18" t="s">
        <v>82</v>
      </c>
      <c r="C34" s="19" t="s">
        <v>83</v>
      </c>
      <c r="D34" s="19"/>
      <c r="E34" s="19"/>
      <c r="F34" s="19"/>
      <c r="G34" s="19"/>
      <c r="H34" s="19"/>
      <c r="I34" s="19"/>
      <c r="J34" s="1"/>
      <c r="K34" s="1"/>
      <c r="L34" s="1"/>
    </row>
    <row r="35" customFormat="false" ht="21.75" hidden="false" customHeight="true" outlineLevel="0" collapsed="false">
      <c r="A35" s="1"/>
      <c r="B35" s="20" t="s">
        <v>84</v>
      </c>
      <c r="C35" s="21" t="s">
        <v>85</v>
      </c>
      <c r="D35" s="21"/>
      <c r="E35" s="21"/>
      <c r="F35" s="21"/>
      <c r="G35" s="21"/>
      <c r="H35" s="21"/>
      <c r="I35" s="21"/>
      <c r="J35" s="1"/>
      <c r="K35" s="1"/>
      <c r="L35" s="1"/>
    </row>
    <row r="36" customFormat="false" ht="21.75" hidden="false" customHeight="true" outlineLevel="0" collapsed="false">
      <c r="A36" s="1"/>
      <c r="B36" s="18" t="s">
        <v>86</v>
      </c>
      <c r="C36" s="19" t="s">
        <v>87</v>
      </c>
      <c r="D36" s="19"/>
      <c r="E36" s="19"/>
      <c r="F36" s="19"/>
      <c r="G36" s="19"/>
      <c r="H36" s="19"/>
      <c r="I36" s="19"/>
      <c r="J36" s="1"/>
      <c r="K36" s="1"/>
      <c r="L36" s="1"/>
    </row>
    <row r="37" customFormat="false" ht="21.75" hidden="false" customHeight="true" outlineLevel="0" collapsed="false">
      <c r="A37" s="1"/>
      <c r="B37" s="20" t="s">
        <v>88</v>
      </c>
      <c r="C37" s="21" t="s">
        <v>89</v>
      </c>
      <c r="D37" s="21"/>
      <c r="E37" s="21"/>
      <c r="F37" s="21"/>
      <c r="G37" s="21"/>
      <c r="H37" s="21"/>
      <c r="I37" s="21"/>
      <c r="J37" s="1"/>
      <c r="K37" s="1"/>
      <c r="L37" s="1"/>
    </row>
    <row r="38" customFormat="false" ht="21.75" hidden="false" customHeight="true" outlineLevel="0" collapsed="false">
      <c r="A38" s="1"/>
      <c r="B38" s="18" t="s">
        <v>90</v>
      </c>
      <c r="C38" s="19" t="s">
        <v>91</v>
      </c>
      <c r="D38" s="19"/>
      <c r="E38" s="19"/>
      <c r="F38" s="19"/>
      <c r="G38" s="19"/>
      <c r="H38" s="19"/>
      <c r="I38" s="19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mergeCells count="34">
    <mergeCell ref="B1:I1"/>
    <mergeCell ref="B2:I2"/>
    <mergeCell ref="B3:I3"/>
    <mergeCell ref="C4:I4"/>
    <mergeCell ref="C5:I5"/>
    <mergeCell ref="C6:I6"/>
    <mergeCell ref="C7:I7"/>
    <mergeCell ref="C8:I8"/>
    <mergeCell ref="C9:I9"/>
    <mergeCell ref="B11:I11"/>
    <mergeCell ref="C12:I12"/>
    <mergeCell ref="C13:I13"/>
    <mergeCell ref="C14:I14"/>
    <mergeCell ref="C15:I15"/>
    <mergeCell ref="B17:I17"/>
    <mergeCell ref="C18:I18"/>
    <mergeCell ref="C19:I19"/>
    <mergeCell ref="C20:I20"/>
    <mergeCell ref="B22:I22"/>
    <mergeCell ref="C23:I23"/>
    <mergeCell ref="C24:I24"/>
    <mergeCell ref="C25:I25"/>
    <mergeCell ref="C26:I26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C37:I37"/>
    <mergeCell ref="C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1:V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11" min="8" style="0" width="12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8" min="16" style="0" width="14"/>
    <col collapsed="false" customWidth="true" hidden="false" outlineLevel="0" max="19" min="19" style="0" width="16"/>
    <col collapsed="false" customWidth="true" hidden="false" outlineLevel="0" max="21" min="20" style="0" width="14"/>
    <col collapsed="false" customWidth="true" hidden="false" outlineLevel="0" max="22" min="22" style="0" width="3"/>
  </cols>
  <sheetData>
    <row r="1" customFormat="false" ht="42" hidden="false" customHeight="true" outlineLevel="0" collapsed="false">
      <c r="A1" s="1"/>
      <c r="B1" s="22" t="s">
        <v>92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1"/>
    </row>
    <row r="2" customFormat="false" ht="18" hidden="false" customHeight="true" outlineLevel="0" collapsed="false">
      <c r="A2" s="1"/>
      <c r="B2" s="16" t="s">
        <v>93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"/>
    </row>
    <row r="3" customFormat="false" ht="21.75" hidden="false" customHeight="true" outlineLevel="0" collapsed="false">
      <c r="A3" s="1"/>
      <c r="B3" s="23"/>
      <c r="C3" s="23"/>
      <c r="D3" s="23"/>
      <c r="E3" s="23"/>
      <c r="F3" s="24" t="s">
        <v>94</v>
      </c>
      <c r="G3" s="24"/>
      <c r="H3" s="24"/>
      <c r="I3" s="24"/>
      <c r="J3" s="24"/>
      <c r="K3" s="24"/>
      <c r="L3" s="25" t="s">
        <v>95</v>
      </c>
      <c r="M3" s="25"/>
      <c r="N3" s="25"/>
      <c r="O3" s="26" t="s">
        <v>96</v>
      </c>
      <c r="P3" s="26"/>
      <c r="Q3" s="26"/>
      <c r="R3" s="26"/>
      <c r="S3" s="26"/>
      <c r="T3" s="26"/>
      <c r="U3" s="26"/>
      <c r="V3" s="1"/>
    </row>
    <row r="4" customFormat="false" ht="30" hidden="false" customHeight="true" outlineLevel="0" collapsed="false">
      <c r="A4" s="1"/>
      <c r="B4" s="27" t="s">
        <v>97</v>
      </c>
      <c r="C4" s="27" t="s">
        <v>98</v>
      </c>
      <c r="D4" s="28" t="s">
        <v>99</v>
      </c>
      <c r="E4" s="28" t="s">
        <v>100</v>
      </c>
      <c r="F4" s="28" t="s">
        <v>101</v>
      </c>
      <c r="G4" s="29" t="s">
        <v>102</v>
      </c>
      <c r="H4" s="29" t="s">
        <v>103</v>
      </c>
      <c r="I4" s="29" t="s">
        <v>104</v>
      </c>
      <c r="J4" s="29" t="s">
        <v>105</v>
      </c>
      <c r="K4" s="29" t="s">
        <v>106</v>
      </c>
      <c r="L4" s="29" t="s">
        <v>107</v>
      </c>
      <c r="M4" s="30" t="s">
        <v>108</v>
      </c>
      <c r="N4" s="30" t="s">
        <v>109</v>
      </c>
      <c r="O4" s="30" t="s">
        <v>110</v>
      </c>
      <c r="P4" s="31" t="s">
        <v>111</v>
      </c>
      <c r="Q4" s="31" t="s">
        <v>112</v>
      </c>
      <c r="R4" s="31" t="s">
        <v>113</v>
      </c>
      <c r="S4" s="31" t="s">
        <v>114</v>
      </c>
      <c r="T4" s="31" t="s">
        <v>115</v>
      </c>
      <c r="U4" s="31" t="s">
        <v>116</v>
      </c>
      <c r="V4" s="31" t="s">
        <v>117</v>
      </c>
    </row>
    <row r="5" customFormat="false" ht="43.5" hidden="false" customHeight="true" outlineLevel="0" collapsed="false">
      <c r="A5" s="1"/>
      <c r="B5" s="32" t="n">
        <v>1</v>
      </c>
      <c r="C5" s="21" t="s">
        <v>118</v>
      </c>
      <c r="D5" s="21" t="s">
        <v>119</v>
      </c>
      <c r="E5" s="33" t="s">
        <v>73</v>
      </c>
      <c r="F5" s="33" t="s">
        <v>120</v>
      </c>
      <c r="G5" s="33" t="n">
        <v>0</v>
      </c>
      <c r="H5" s="33" t="n">
        <v>10000</v>
      </c>
      <c r="I5" s="33" t="n">
        <v>340</v>
      </c>
      <c r="J5" s="34" t="n">
        <f aca="false">IFERROR(IF(H5=G5,IF(I5&gt;=H5,1,0),(I5-G5)/(H5-G5)),0)</f>
        <v>0.034</v>
      </c>
      <c r="K5" s="34" t="n">
        <f aca="false">IFERROR(AVERAGEIF(C5:C200,C5,J5:J200),"")</f>
        <v>0.034</v>
      </c>
      <c r="L5" s="35" t="n">
        <v>100</v>
      </c>
      <c r="M5" s="36" t="n">
        <f aca="false">IFERROR(IF(H5=G5,IF(I5&gt;=H5,100,0),(I5-G5)/(H5-G5)*100),0)</f>
        <v>3.4</v>
      </c>
      <c r="N5" s="37" t="str">
        <f aca="false">IF(M5="","",IF(M5&gt;=90,"🏆 Supercharged",IF(M5&gt;=70,"🟢 On Track",IF(M5&gt;=40,"🟡 At Risk","🔴 Off Track"))))</f>
        <v>🔴 Off Track</v>
      </c>
      <c r="O5" s="33" t="s">
        <v>121</v>
      </c>
      <c r="P5" s="33"/>
      <c r="Q5" s="38" t="str">
        <f aca="false">'⚙️ Config'!C5</f>
        <v>Q3 2026</v>
      </c>
      <c r="R5" s="21" t="s">
        <v>122</v>
      </c>
      <c r="S5" s="33" t="s">
        <v>123</v>
      </c>
      <c r="T5" s="21" t="s">
        <v>124</v>
      </c>
      <c r="U5" s="21" t="s">
        <v>125</v>
      </c>
      <c r="V5" s="1"/>
    </row>
    <row r="6" customFormat="false" ht="43.5" hidden="false" customHeight="true" outlineLevel="0" collapsed="false">
      <c r="A6" s="1"/>
      <c r="B6" s="32" t="n">
        <v>2</v>
      </c>
      <c r="C6" s="21"/>
      <c r="D6" s="21" t="s">
        <v>126</v>
      </c>
      <c r="E6" s="33" t="s">
        <v>77</v>
      </c>
      <c r="F6" s="33" t="s">
        <v>127</v>
      </c>
      <c r="G6" s="33" t="n">
        <v>0</v>
      </c>
      <c r="H6" s="33" t="n">
        <v>65</v>
      </c>
      <c r="I6" s="33" t="n">
        <v>0</v>
      </c>
      <c r="J6" s="34" t="n">
        <f aca="false">IFERROR(IF(H6=G6,IF(I6&gt;=H6,1,0),(I6-G6)/(H6-G6)),0)</f>
        <v>0</v>
      </c>
      <c r="K6" s="34" t="str">
        <f aca="false">IFERROR(AVERAGEIF(C5:C200,C6,J5:J200),"")</f>
        <v/>
      </c>
      <c r="L6" s="35" t="n">
        <v>100</v>
      </c>
      <c r="M6" s="36" t="n">
        <f aca="false">IFERROR(IF(H6=G6,IF(I6&gt;=H6,100,0),(I6-G6)/(H6-G6)*100),0)</f>
        <v>0</v>
      </c>
      <c r="N6" s="37" t="str">
        <f aca="false">IF(M6="","",IF(M6&gt;=90,"🏆 Supercharged",IF(M6&gt;=70,"🟢 On Track",IF(M6&gt;=40,"🟡 At Risk","🔴 Off Track"))))</f>
        <v>🔴 Off Track</v>
      </c>
      <c r="O6" s="33" t="s">
        <v>128</v>
      </c>
      <c r="P6" s="33"/>
      <c r="Q6" s="38" t="str">
        <f aca="false">'⚙️ Config'!C5</f>
        <v>Q3 2026</v>
      </c>
      <c r="R6" s="21" t="s">
        <v>122</v>
      </c>
      <c r="S6" s="33" t="s">
        <v>129</v>
      </c>
      <c r="T6" s="21" t="s">
        <v>130</v>
      </c>
      <c r="U6" s="21" t="s">
        <v>131</v>
      </c>
      <c r="V6" s="1"/>
    </row>
    <row r="7" customFormat="false" ht="43.5" hidden="false" customHeight="true" outlineLevel="0" collapsed="false">
      <c r="A7" s="1"/>
      <c r="B7" s="32" t="n">
        <v>3</v>
      </c>
      <c r="C7" s="21"/>
      <c r="D7" s="21" t="s">
        <v>132</v>
      </c>
      <c r="E7" s="33" t="s">
        <v>81</v>
      </c>
      <c r="F7" s="33" t="s">
        <v>120</v>
      </c>
      <c r="G7" s="33" t="n">
        <v>0</v>
      </c>
      <c r="H7" s="33" t="n">
        <v>3</v>
      </c>
      <c r="I7" s="33" t="n">
        <v>0</v>
      </c>
      <c r="J7" s="34" t="n">
        <f aca="false">IFERROR(IF(H7=G7,IF(I7&gt;=H7,1,0),(I7-G7)/(H7-G7)),0)</f>
        <v>0</v>
      </c>
      <c r="K7" s="34" t="str">
        <f aca="false">IFERROR(AVERAGEIF(C5:C200,C7,J5:J200),"")</f>
        <v/>
      </c>
      <c r="L7" s="35" t="n">
        <v>100</v>
      </c>
      <c r="M7" s="36" t="n">
        <f aca="false">IFERROR(IF(H7=G7,IF(I7&gt;=H7,100,0),(I7-G7)/(H7-G7)*100),0)</f>
        <v>0</v>
      </c>
      <c r="N7" s="37" t="str">
        <f aca="false">IF(M7="","",IF(M7&gt;=90,"🏆 Supercharged",IF(M7&gt;=70,"🟢 On Track",IF(M7&gt;=40,"🟡 At Risk","🔴 Off Track"))))</f>
        <v>🔴 Off Track</v>
      </c>
      <c r="O7" s="33" t="s">
        <v>133</v>
      </c>
      <c r="P7" s="33"/>
      <c r="Q7" s="38" t="str">
        <f aca="false">'⚙️ Config'!C5</f>
        <v>Q3 2026</v>
      </c>
      <c r="R7" s="21" t="s">
        <v>122</v>
      </c>
      <c r="S7" s="33" t="s">
        <v>123</v>
      </c>
      <c r="T7" s="21" t="s">
        <v>134</v>
      </c>
      <c r="U7" s="21" t="s">
        <v>135</v>
      </c>
      <c r="V7" s="1"/>
    </row>
    <row r="8" customFormat="false" ht="43.5" hidden="false" customHeight="true" outlineLevel="0" collapsed="false">
      <c r="A8" s="1"/>
      <c r="B8" s="32" t="n">
        <v>4</v>
      </c>
      <c r="C8" s="21"/>
      <c r="D8" s="21" t="s">
        <v>136</v>
      </c>
      <c r="E8" s="33" t="s">
        <v>83</v>
      </c>
      <c r="F8" s="33" t="s">
        <v>127</v>
      </c>
      <c r="G8" s="33" t="n">
        <v>0</v>
      </c>
      <c r="H8" s="33" t="n">
        <v>1</v>
      </c>
      <c r="I8" s="33" t="n">
        <v>0</v>
      </c>
      <c r="J8" s="34" t="n">
        <f aca="false">IFERROR(IF(H8=G8,IF(I8&gt;=H8,1,0),(I8-G8)/(H8-G8)),0)</f>
        <v>0</v>
      </c>
      <c r="K8" s="34" t="str">
        <f aca="false">IFERROR(AVERAGEIF(C5:C200,C8,J5:J200),"")</f>
        <v/>
      </c>
      <c r="L8" s="35" t="n">
        <v>100</v>
      </c>
      <c r="M8" s="36" t="n">
        <f aca="false">IFERROR(IF(H8=G8,IF(I8&gt;=H8,100,0),(I8-G8)/(H8-G8)*100),0)</f>
        <v>0</v>
      </c>
      <c r="N8" s="37" t="str">
        <f aca="false">IF(M8="","",IF(M8&gt;=90,"🏆 Supercharged",IF(M8&gt;=70,"🟢 On Track",IF(M8&gt;=40,"🟡 At Risk","🔴 Off Track"))))</f>
        <v>🔴 Off Track</v>
      </c>
      <c r="O8" s="33" t="s">
        <v>121</v>
      </c>
      <c r="P8" s="33"/>
      <c r="Q8" s="38" t="str">
        <f aca="false">'⚙️ Config'!C5</f>
        <v>Q3 2026</v>
      </c>
      <c r="R8" s="21" t="s">
        <v>122</v>
      </c>
      <c r="S8" s="33" t="s">
        <v>129</v>
      </c>
      <c r="T8" s="21" t="s">
        <v>137</v>
      </c>
      <c r="U8" s="21" t="s">
        <v>138</v>
      </c>
      <c r="V8" s="1"/>
    </row>
    <row r="9" customFormat="false" ht="43.5" hidden="false" customHeight="true" outlineLevel="0" collapsed="false">
      <c r="A9" s="1"/>
      <c r="B9" s="32" t="n">
        <v>5</v>
      </c>
      <c r="C9" s="19" t="s">
        <v>139</v>
      </c>
      <c r="D9" s="19" t="s">
        <v>140</v>
      </c>
      <c r="E9" s="39" t="s">
        <v>77</v>
      </c>
      <c r="F9" s="39" t="s">
        <v>127</v>
      </c>
      <c r="G9" s="39" t="n">
        <v>0</v>
      </c>
      <c r="H9" s="39" t="n">
        <v>1</v>
      </c>
      <c r="I9" s="39" t="n">
        <v>1</v>
      </c>
      <c r="J9" s="34" t="n">
        <f aca="false">IFERROR(IF(H9=G9,IF(I9&gt;=H9,1,0),(I9-G9)/(H9-G9)),0)</f>
        <v>1</v>
      </c>
      <c r="K9" s="34" t="n">
        <f aca="false">IFERROR(AVERAGEIF(C5:C200,C9,J5:J200),"")</f>
        <v>1</v>
      </c>
      <c r="L9" s="40" t="n">
        <v>100</v>
      </c>
      <c r="M9" s="36" t="n">
        <f aca="false">IFERROR(IF(H9=G9,IF(I9&gt;=H9,100,0),(I9-G9)/(H9-G9)*100),0)</f>
        <v>100</v>
      </c>
      <c r="N9" s="37" t="str">
        <f aca="false">IF(M9="","",IF(M9&gt;=90,"🏆 Supercharged",IF(M9&gt;=70,"🟢 On Track",IF(M9&gt;=40,"🟡 At Risk","🔴 Off Track"))))</f>
        <v>🏆 Supercharged</v>
      </c>
      <c r="O9" s="39" t="s">
        <v>121</v>
      </c>
      <c r="P9" s="39"/>
      <c r="Q9" s="38" t="str">
        <f aca="false">'⚙️ Config'!C5</f>
        <v>Q3 2026</v>
      </c>
      <c r="R9" s="19" t="s">
        <v>122</v>
      </c>
      <c r="S9" s="39" t="s">
        <v>129</v>
      </c>
      <c r="T9" s="19" t="s">
        <v>141</v>
      </c>
      <c r="U9" s="19" t="s">
        <v>142</v>
      </c>
      <c r="V9" s="1"/>
    </row>
    <row r="10" customFormat="false" ht="43.5" hidden="false" customHeight="true" outlineLevel="0" collapsed="false">
      <c r="A10" s="1"/>
      <c r="B10" s="32" t="n">
        <v>6</v>
      </c>
      <c r="C10" s="19"/>
      <c r="D10" s="19" t="s">
        <v>143</v>
      </c>
      <c r="E10" s="39" t="s">
        <v>77</v>
      </c>
      <c r="F10" s="39" t="s">
        <v>127</v>
      </c>
      <c r="G10" s="39" t="n">
        <v>0</v>
      </c>
      <c r="H10" s="39" t="n">
        <v>3</v>
      </c>
      <c r="I10" s="39" t="n">
        <v>3</v>
      </c>
      <c r="J10" s="34" t="n">
        <f aca="false">IFERROR(IF(H10=G10,IF(I10&gt;=H10,1,0),(I10-G10)/(H10-G10)),0)</f>
        <v>1</v>
      </c>
      <c r="K10" s="34" t="str">
        <f aca="false">IFERROR(AVERAGEIF(C5:C200,C10,J5:J200),"")</f>
        <v/>
      </c>
      <c r="L10" s="40" t="n">
        <v>100</v>
      </c>
      <c r="M10" s="36" t="n">
        <f aca="false">IFERROR(IF(H10=G10,IF(I10&gt;=H10,100,0),(I10-G10)/(H10-G10)*100),0)</f>
        <v>100</v>
      </c>
      <c r="N10" s="37" t="str">
        <f aca="false">IF(M10="","",IF(M10&gt;=90,"🏆 Supercharged",IF(M10&gt;=70,"🟢 On Track",IF(M10&gt;=40,"🟡 At Risk","🔴 Off Track"))))</f>
        <v>🏆 Supercharged</v>
      </c>
      <c r="O10" s="39" t="s">
        <v>121</v>
      </c>
      <c r="P10" s="39"/>
      <c r="Q10" s="38" t="str">
        <f aca="false">'⚙️ Config'!C5</f>
        <v>Q3 2026</v>
      </c>
      <c r="R10" s="19" t="s">
        <v>122</v>
      </c>
      <c r="S10" s="39" t="s">
        <v>129</v>
      </c>
      <c r="T10" s="19" t="s">
        <v>141</v>
      </c>
      <c r="U10" s="19" t="s">
        <v>142</v>
      </c>
      <c r="V10" s="1"/>
    </row>
    <row r="11" customFormat="false" ht="43.5" hidden="false" customHeight="true" outlineLevel="0" collapsed="false">
      <c r="A11" s="1"/>
      <c r="B11" s="32" t="n">
        <v>7</v>
      </c>
      <c r="C11" s="19"/>
      <c r="D11" s="19" t="s">
        <v>144</v>
      </c>
      <c r="E11" s="39" t="s">
        <v>79</v>
      </c>
      <c r="F11" s="39" t="s">
        <v>120</v>
      </c>
      <c r="G11" s="39" t="n">
        <v>0</v>
      </c>
      <c r="H11" s="39" t="n">
        <v>3</v>
      </c>
      <c r="I11" s="39" t="n">
        <v>0</v>
      </c>
      <c r="J11" s="34" t="n">
        <f aca="false">IFERROR(IF(H11=G11,IF(I11&gt;=H11,1,0),(I11-G11)/(H11-G11)),0)</f>
        <v>0</v>
      </c>
      <c r="K11" s="34" t="str">
        <f aca="false">IFERROR(AVERAGEIF(C5:C200,C11,J5:J200),"")</f>
        <v/>
      </c>
      <c r="L11" s="40" t="n">
        <v>100</v>
      </c>
      <c r="M11" s="36" t="n">
        <f aca="false">IFERROR(IF(H11=G11,IF(I11&gt;=H11,100,0),(I11-G11)/(H11-G11)*100),0)</f>
        <v>0</v>
      </c>
      <c r="N11" s="37" t="str">
        <f aca="false">IF(M11="","",IF(M11&gt;=90,"🏆 Supercharged",IF(M11&gt;=70,"🟢 On Track",IF(M11&gt;=40,"🟡 At Risk","🔴 Off Track"))))</f>
        <v>🔴 Off Track</v>
      </c>
      <c r="O11" s="39" t="s">
        <v>128</v>
      </c>
      <c r="P11" s="39"/>
      <c r="Q11" s="38" t="str">
        <f aca="false">'⚙️ Config'!C5</f>
        <v>Q3 2026</v>
      </c>
      <c r="R11" s="19" t="s">
        <v>122</v>
      </c>
      <c r="S11" s="39" t="s">
        <v>123</v>
      </c>
      <c r="T11" s="19" t="s">
        <v>145</v>
      </c>
      <c r="U11" s="19" t="s">
        <v>146</v>
      </c>
      <c r="V11" s="1"/>
    </row>
    <row r="12" customFormat="false" ht="43.5" hidden="false" customHeight="true" outlineLevel="0" collapsed="false">
      <c r="A12" s="1"/>
      <c r="B12" s="32" t="n">
        <v>8</v>
      </c>
      <c r="C12" s="19"/>
      <c r="D12" s="19" t="s">
        <v>147</v>
      </c>
      <c r="E12" s="39" t="s">
        <v>77</v>
      </c>
      <c r="F12" s="39" t="s">
        <v>127</v>
      </c>
      <c r="G12" s="39" t="n">
        <v>0</v>
      </c>
      <c r="H12" s="39" t="n">
        <v>4</v>
      </c>
      <c r="I12" s="39" t="n">
        <v>4</v>
      </c>
      <c r="J12" s="34" t="n">
        <f aca="false">IFERROR(IF(H12=G12,IF(I12&gt;=H12,1,0),(I12-G12)/(H12-G12)),0)</f>
        <v>1</v>
      </c>
      <c r="K12" s="34" t="str">
        <f aca="false">IFERROR(AVERAGEIF(C5:C200,C12,J5:J200),"")</f>
        <v/>
      </c>
      <c r="L12" s="40" t="n">
        <v>100</v>
      </c>
      <c r="M12" s="36" t="n">
        <f aca="false">IFERROR(IF(H12=G12,IF(I12&gt;=H12,100,0),(I12-G12)/(H12-G12)*100),0)</f>
        <v>100</v>
      </c>
      <c r="N12" s="37" t="str">
        <f aca="false">IF(M12="","",IF(M12&gt;=90,"🏆 Supercharged",IF(M12&gt;=70,"🟢 On Track",IF(M12&gt;=40,"🟡 At Risk","🔴 Off Track"))))</f>
        <v>🏆 Supercharged</v>
      </c>
      <c r="O12" s="39" t="s">
        <v>121</v>
      </c>
      <c r="P12" s="39"/>
      <c r="Q12" s="38" t="str">
        <f aca="false">'⚙️ Config'!C5</f>
        <v>Q3 2026</v>
      </c>
      <c r="R12" s="19" t="s">
        <v>122</v>
      </c>
      <c r="S12" s="39" t="s">
        <v>129</v>
      </c>
      <c r="T12" s="19" t="s">
        <v>141</v>
      </c>
      <c r="U12" s="19" t="s">
        <v>148</v>
      </c>
      <c r="V12" s="1"/>
    </row>
    <row r="13" customFormat="false" ht="43.5" hidden="false" customHeight="true" outlineLevel="0" collapsed="false">
      <c r="A13" s="1"/>
      <c r="B13" s="32" t="n">
        <v>9</v>
      </c>
      <c r="C13" s="21" t="s">
        <v>149</v>
      </c>
      <c r="D13" s="21" t="s">
        <v>150</v>
      </c>
      <c r="E13" s="33" t="s">
        <v>73</v>
      </c>
      <c r="F13" s="33" t="s">
        <v>120</v>
      </c>
      <c r="G13" s="33" t="n">
        <v>0</v>
      </c>
      <c r="H13" s="33" t="n">
        <v>5000000</v>
      </c>
      <c r="I13" s="33" t="n">
        <v>0</v>
      </c>
      <c r="J13" s="34" t="n">
        <f aca="false">IFERROR(IF(H13=G13,IF(I13&gt;=H13,1,0),(I13-G13)/(H13-G13)),0)</f>
        <v>0</v>
      </c>
      <c r="K13" s="34" t="n">
        <f aca="false">IFERROR(AVERAGEIF(C5:C200,C13,J5:J200),"")</f>
        <v>0</v>
      </c>
      <c r="L13" s="35" t="n">
        <v>100</v>
      </c>
      <c r="M13" s="36" t="n">
        <f aca="false">IFERROR(IF(H13=G13,IF(I13&gt;=H13,100,0),(I13-G13)/(H13-G13)*100),0)</f>
        <v>0</v>
      </c>
      <c r="N13" s="37" t="str">
        <f aca="false">IF(M13="","",IF(M13&gt;=90,"🏆 Supercharged",IF(M13&gt;=70,"🟢 On Track",IF(M13&gt;=40,"🟡 At Risk","🔴 Off Track"))))</f>
        <v>🔴 Off Track</v>
      </c>
      <c r="O13" s="33" t="s">
        <v>133</v>
      </c>
      <c r="P13" s="33"/>
      <c r="Q13" s="38" t="str">
        <f aca="false">'⚙️ Config'!C5</f>
        <v>Q3 2026</v>
      </c>
      <c r="R13" s="21" t="s">
        <v>122</v>
      </c>
      <c r="S13" s="33" t="s">
        <v>123</v>
      </c>
      <c r="T13" s="21" t="s">
        <v>151</v>
      </c>
      <c r="U13" s="21" t="s">
        <v>152</v>
      </c>
      <c r="V13" s="1"/>
    </row>
    <row r="14" customFormat="false" ht="43.5" hidden="false" customHeight="true" outlineLevel="0" collapsed="false">
      <c r="A14" s="1"/>
      <c r="B14" s="32" t="n">
        <v>10</v>
      </c>
      <c r="C14" s="21"/>
      <c r="D14" s="21" t="s">
        <v>153</v>
      </c>
      <c r="E14" s="33" t="s">
        <v>83</v>
      </c>
      <c r="F14" s="33" t="s">
        <v>127</v>
      </c>
      <c r="G14" s="33" t="n">
        <v>0</v>
      </c>
      <c r="H14" s="33" t="n">
        <v>800000</v>
      </c>
      <c r="I14" s="33" t="n">
        <v>0</v>
      </c>
      <c r="J14" s="34" t="n">
        <f aca="false">IFERROR(IF(H14=G14,IF(I14&gt;=H14,1,0),(I14-G14)/(H14-G14)),0)</f>
        <v>0</v>
      </c>
      <c r="K14" s="34" t="str">
        <f aca="false">IFERROR(AVERAGEIF(C5:C200,C14,J5:J200),"")</f>
        <v/>
      </c>
      <c r="L14" s="35" t="n">
        <v>100</v>
      </c>
      <c r="M14" s="36" t="n">
        <f aca="false">IFERROR(IF(H14=G14,IF(I14&gt;=H14,100,0),(I14-G14)/(H14-G14)*100),0)</f>
        <v>0</v>
      </c>
      <c r="N14" s="37" t="str">
        <f aca="false">IF(M14="","",IF(M14&gt;=90,"🏆 Supercharged",IF(M14&gt;=70,"🟢 On Track",IF(M14&gt;=40,"🟡 At Risk","🔴 Off Track"))))</f>
        <v>🔴 Off Track</v>
      </c>
      <c r="O14" s="33" t="s">
        <v>121</v>
      </c>
      <c r="P14" s="33"/>
      <c r="Q14" s="38" t="str">
        <f aca="false">'⚙️ Config'!C5</f>
        <v>Q3 2026</v>
      </c>
      <c r="R14" s="21" t="s">
        <v>122</v>
      </c>
      <c r="S14" s="33" t="s">
        <v>129</v>
      </c>
      <c r="T14" s="21" t="s">
        <v>141</v>
      </c>
      <c r="U14" s="21" t="s">
        <v>154</v>
      </c>
      <c r="V14" s="1"/>
    </row>
    <row r="15" customFormat="false" ht="43.5" hidden="false" customHeight="true" outlineLevel="0" collapsed="false">
      <c r="A15" s="1"/>
      <c r="B15" s="32" t="n">
        <v>11</v>
      </c>
      <c r="C15" s="21"/>
      <c r="D15" s="21" t="s">
        <v>155</v>
      </c>
      <c r="E15" s="33" t="s">
        <v>83</v>
      </c>
      <c r="F15" s="33" t="s">
        <v>120</v>
      </c>
      <c r="G15" s="33" t="n">
        <v>0</v>
      </c>
      <c r="H15" s="33" t="n">
        <v>40</v>
      </c>
      <c r="I15" s="33" t="n">
        <v>0</v>
      </c>
      <c r="J15" s="34" t="n">
        <f aca="false">IFERROR(IF(H15=G15,IF(I15&gt;=H15,1,0),(I15-G15)/(H15-G15)),0)</f>
        <v>0</v>
      </c>
      <c r="K15" s="34" t="str">
        <f aca="false">IFERROR(AVERAGEIF(C5:C200,C15,J5:J200),"")</f>
        <v/>
      </c>
      <c r="L15" s="35" t="n">
        <v>100</v>
      </c>
      <c r="M15" s="36" t="n">
        <f aca="false">IFERROR(IF(H15=G15,IF(I15&gt;=H15,100,0),(I15-G15)/(H15-G15)*100),0)</f>
        <v>0</v>
      </c>
      <c r="N15" s="37" t="str">
        <f aca="false">IF(M15="","",IF(M15&gt;=90,"🏆 Supercharged",IF(M15&gt;=70,"🟢 On Track",IF(M15&gt;=40,"🟡 At Risk","🔴 Off Track"))))</f>
        <v>🔴 Off Track</v>
      </c>
      <c r="O15" s="33" t="s">
        <v>128</v>
      </c>
      <c r="P15" s="33"/>
      <c r="Q15" s="38" t="str">
        <f aca="false">'⚙️ Config'!C5</f>
        <v>Q3 2026</v>
      </c>
      <c r="R15" s="21" t="s">
        <v>122</v>
      </c>
      <c r="S15" s="33" t="s">
        <v>123</v>
      </c>
      <c r="T15" s="21" t="s">
        <v>156</v>
      </c>
      <c r="U15" s="21" t="s">
        <v>157</v>
      </c>
      <c r="V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7.75" hidden="false" customHeight="true" outlineLevel="0" collapsed="false">
      <c r="A17" s="1"/>
      <c r="B17" s="41" t="s">
        <v>158</v>
      </c>
      <c r="C17" s="41"/>
      <c r="D17" s="41"/>
      <c r="E17" s="41"/>
      <c r="F17" s="28" t="s">
        <v>159</v>
      </c>
      <c r="G17" s="42" t="n">
        <f aca="false">IFERROR(AVERAGE(J5:J15),"—")</f>
        <v>0.275818181818182</v>
      </c>
      <c r="H17" s="28" t="s">
        <v>160</v>
      </c>
      <c r="I17" s="43" t="n">
        <f aca="false">IFERROR(AVERAGE(M5:M15),"—")</f>
        <v>27.5818181818182</v>
      </c>
      <c r="J17" s="28" t="s">
        <v>161</v>
      </c>
      <c r="K17" s="44" t="n">
        <f aca="false">COUNTIF(J5:J15,"&gt;=0.7")</f>
        <v>3</v>
      </c>
      <c r="L17" s="28" t="s">
        <v>162</v>
      </c>
      <c r="M17" s="44" t="n">
        <f aca="false">COUNTIFS(J5:J15,"&gt;=0.4",J5:J15,"&lt;0.7")</f>
        <v>0</v>
      </c>
      <c r="N17" s="28" t="s">
        <v>163</v>
      </c>
      <c r="O17" s="44" t="n">
        <f aca="false">COUNTIF(J5:J15,"&lt;0.4")</f>
        <v>8</v>
      </c>
      <c r="P17" s="1"/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</sheetData>
  <mergeCells count="7">
    <mergeCell ref="B1:U1"/>
    <mergeCell ref="B2:U2"/>
    <mergeCell ref="B3:E3"/>
    <mergeCell ref="F3:K3"/>
    <mergeCell ref="L3:N3"/>
    <mergeCell ref="O3:U3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V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11" min="8" style="0" width="12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8" min="16" style="0" width="14"/>
    <col collapsed="false" customWidth="true" hidden="false" outlineLevel="0" max="19" min="19" style="0" width="16"/>
    <col collapsed="false" customWidth="true" hidden="false" outlineLevel="0" max="21" min="20" style="0" width="14"/>
    <col collapsed="false" customWidth="true" hidden="false" outlineLevel="0" max="22" min="22" style="0" width="3"/>
  </cols>
  <sheetData>
    <row r="1" customFormat="false" ht="42" hidden="false" customHeight="true" outlineLevel="0" collapsed="false">
      <c r="A1" s="1"/>
      <c r="B1" s="45" t="s">
        <v>164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1"/>
    </row>
    <row r="2" customFormat="false" ht="18" hidden="false" customHeight="true" outlineLevel="0" collapsed="false">
      <c r="A2" s="1"/>
      <c r="B2" s="16" t="s">
        <v>93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"/>
    </row>
    <row r="3" customFormat="false" ht="21.75" hidden="false" customHeight="true" outlineLevel="0" collapsed="false">
      <c r="A3" s="1"/>
      <c r="B3" s="23"/>
      <c r="C3" s="23"/>
      <c r="D3" s="23"/>
      <c r="E3" s="23"/>
      <c r="F3" s="24" t="s">
        <v>94</v>
      </c>
      <c r="G3" s="24"/>
      <c r="H3" s="24"/>
      <c r="I3" s="24"/>
      <c r="J3" s="24"/>
      <c r="K3" s="24"/>
      <c r="L3" s="25" t="s">
        <v>95</v>
      </c>
      <c r="M3" s="25"/>
      <c r="N3" s="25"/>
      <c r="O3" s="26" t="s">
        <v>96</v>
      </c>
      <c r="P3" s="26"/>
      <c r="Q3" s="26"/>
      <c r="R3" s="26"/>
      <c r="S3" s="26"/>
      <c r="T3" s="26"/>
      <c r="U3" s="26"/>
      <c r="V3" s="1"/>
    </row>
    <row r="4" customFormat="false" ht="30" hidden="false" customHeight="true" outlineLevel="0" collapsed="false">
      <c r="A4" s="1"/>
      <c r="B4" s="27" t="s">
        <v>97</v>
      </c>
      <c r="C4" s="27" t="s">
        <v>98</v>
      </c>
      <c r="D4" s="28" t="s">
        <v>99</v>
      </c>
      <c r="E4" s="28" t="s">
        <v>100</v>
      </c>
      <c r="F4" s="28" t="s">
        <v>101</v>
      </c>
      <c r="G4" s="29" t="s">
        <v>102</v>
      </c>
      <c r="H4" s="29" t="s">
        <v>103</v>
      </c>
      <c r="I4" s="29" t="s">
        <v>104</v>
      </c>
      <c r="J4" s="29" t="s">
        <v>105</v>
      </c>
      <c r="K4" s="29" t="s">
        <v>106</v>
      </c>
      <c r="L4" s="29" t="s">
        <v>107</v>
      </c>
      <c r="M4" s="30" t="s">
        <v>108</v>
      </c>
      <c r="N4" s="30" t="s">
        <v>109</v>
      </c>
      <c r="O4" s="30" t="s">
        <v>110</v>
      </c>
      <c r="P4" s="31" t="s">
        <v>111</v>
      </c>
      <c r="Q4" s="31" t="s">
        <v>112</v>
      </c>
      <c r="R4" s="31" t="s">
        <v>113</v>
      </c>
      <c r="S4" s="31" t="s">
        <v>165</v>
      </c>
      <c r="T4" s="31" t="s">
        <v>115</v>
      </c>
      <c r="U4" s="31" t="s">
        <v>116</v>
      </c>
      <c r="V4" s="31" t="s">
        <v>117</v>
      </c>
    </row>
    <row r="5" customFormat="false" ht="43.5" hidden="false" customHeight="true" outlineLevel="0" collapsed="false">
      <c r="A5" s="1"/>
      <c r="B5" s="32" t="n">
        <v>1</v>
      </c>
      <c r="C5" s="21" t="s">
        <v>166</v>
      </c>
      <c r="D5" s="21" t="s">
        <v>167</v>
      </c>
      <c r="E5" s="33" t="s">
        <v>85</v>
      </c>
      <c r="F5" s="33" t="s">
        <v>127</v>
      </c>
      <c r="G5" s="33" t="n">
        <v>0</v>
      </c>
      <c r="H5" s="33" t="n">
        <v>2</v>
      </c>
      <c r="I5" s="33" t="n">
        <v>0</v>
      </c>
      <c r="J5" s="34" t="n">
        <f aca="false">IFERROR(IF(H5=G5,IF(I5&gt;=H5,1,0),(I5-G5)/(H5-G5)),0)</f>
        <v>0</v>
      </c>
      <c r="K5" s="34" t="n">
        <f aca="false">IFERROR(AVERAGEIF(C5:C200,C5,J5:J200),"")</f>
        <v>0</v>
      </c>
      <c r="L5" s="35" t="n">
        <v>100</v>
      </c>
      <c r="M5" s="36" t="n">
        <f aca="false">IFERROR(IF(H5=G5,IF(I5&gt;=H5,100,0),(I5-G5)/(H5-G5)*100),0)</f>
        <v>0</v>
      </c>
      <c r="N5" s="37" t="str">
        <f aca="false">IF(M5="","",IF(M5&gt;=90,"🏆 Supercharged",IF(M5&gt;=70,"🟢 On Track",IF(M5&gt;=40,"🟡 At Risk","🔴 Off Track"))))</f>
        <v>🔴 Off Track</v>
      </c>
      <c r="O5" s="33" t="s">
        <v>128</v>
      </c>
      <c r="P5" s="33"/>
      <c r="Q5" s="38" t="str">
        <f aca="false">'⚙️ Config'!C5</f>
        <v>Q3 2026</v>
      </c>
      <c r="R5" s="21" t="s">
        <v>168</v>
      </c>
      <c r="S5" s="33" t="s">
        <v>129</v>
      </c>
      <c r="T5" s="21" t="s">
        <v>169</v>
      </c>
      <c r="U5" s="21" t="s">
        <v>170</v>
      </c>
      <c r="V5" s="1"/>
    </row>
    <row r="6" customFormat="false" ht="43.5" hidden="false" customHeight="true" outlineLevel="0" collapsed="false">
      <c r="A6" s="1"/>
      <c r="B6" s="32" t="n">
        <v>2</v>
      </c>
      <c r="C6" s="21"/>
      <c r="D6" s="21" t="s">
        <v>171</v>
      </c>
      <c r="E6" s="33" t="s">
        <v>89</v>
      </c>
      <c r="F6" s="33" t="s">
        <v>120</v>
      </c>
      <c r="G6" s="33" t="n">
        <v>3</v>
      </c>
      <c r="H6" s="33" t="n">
        <v>5</v>
      </c>
      <c r="I6" s="33" t="n">
        <v>3</v>
      </c>
      <c r="J6" s="34" t="n">
        <f aca="false">IFERROR(IF(H6=G6,IF(I6&gt;=H6,1,0),(I6-G6)/(H6-G6)),0)</f>
        <v>0</v>
      </c>
      <c r="K6" s="34" t="str">
        <f aca="false">IFERROR(AVERAGEIF(C5:C200,C6,J5:J200),"")</f>
        <v/>
      </c>
      <c r="L6" s="35" t="n">
        <v>100</v>
      </c>
      <c r="M6" s="36" t="n">
        <f aca="false">IFERROR(IF(H6=G6,IF(I6&gt;=H6,100,0),(I6-G6)/(H6-G6)*100),0)</f>
        <v>0</v>
      </c>
      <c r="N6" s="37" t="str">
        <f aca="false">IF(M6="","",IF(M6&gt;=90,"🏆 Supercharged",IF(M6&gt;=70,"🟢 On Track",IF(M6&gt;=40,"🟡 At Risk","🔴 Off Track"))))</f>
        <v>🔴 Off Track</v>
      </c>
      <c r="O6" s="33" t="s">
        <v>133</v>
      </c>
      <c r="P6" s="33"/>
      <c r="Q6" s="38" t="str">
        <f aca="false">'⚙️ Config'!C5</f>
        <v>Q3 2026</v>
      </c>
      <c r="R6" s="21" t="s">
        <v>172</v>
      </c>
      <c r="S6" s="33" t="s">
        <v>123</v>
      </c>
      <c r="T6" s="21" t="s">
        <v>173</v>
      </c>
      <c r="U6" s="21" t="s">
        <v>174</v>
      </c>
      <c r="V6" s="1"/>
    </row>
    <row r="7" customFormat="false" ht="43.5" hidden="false" customHeight="true" outlineLevel="0" collapsed="false">
      <c r="A7" s="1"/>
      <c r="B7" s="32" t="n">
        <v>3</v>
      </c>
      <c r="C7" s="21"/>
      <c r="D7" s="21" t="s">
        <v>175</v>
      </c>
      <c r="E7" s="33" t="s">
        <v>89</v>
      </c>
      <c r="F7" s="33" t="s">
        <v>127</v>
      </c>
      <c r="G7" s="33" t="n">
        <v>0</v>
      </c>
      <c r="H7" s="33" t="n">
        <v>20</v>
      </c>
      <c r="I7" s="33" t="n">
        <v>14</v>
      </c>
      <c r="J7" s="34" t="n">
        <f aca="false">IFERROR(IF(H7=G7,IF(I7&gt;=H7,1,0),(I7-G7)/(H7-G7)),0)</f>
        <v>0.7</v>
      </c>
      <c r="K7" s="34" t="str">
        <f aca="false">IFERROR(AVERAGEIF(C5:C200,C7,J5:J200),"")</f>
        <v/>
      </c>
      <c r="L7" s="35" t="n">
        <v>100</v>
      </c>
      <c r="M7" s="36" t="n">
        <f aca="false">IFERROR(IF(H7=G7,IF(I7&gt;=H7,100,0),(I7-G7)/(H7-G7)*100),0)</f>
        <v>70</v>
      </c>
      <c r="N7" s="37" t="str">
        <f aca="false">IF(M7="","",IF(M7&gt;=90,"🏆 Supercharged",IF(M7&gt;=70,"🟢 On Track",IF(M7&gt;=40,"🟡 At Risk","🔴 Off Track"))))</f>
        <v>🟢 On Track</v>
      </c>
      <c r="O7" s="33" t="s">
        <v>121</v>
      </c>
      <c r="P7" s="33"/>
      <c r="Q7" s="38" t="str">
        <f aca="false">'⚙️ Config'!C5</f>
        <v>Q3 2026</v>
      </c>
      <c r="R7" s="21" t="s">
        <v>172</v>
      </c>
      <c r="S7" s="33" t="s">
        <v>129</v>
      </c>
      <c r="T7" s="21" t="s">
        <v>141</v>
      </c>
      <c r="U7" s="21" t="s">
        <v>176</v>
      </c>
      <c r="V7" s="1"/>
    </row>
    <row r="8" customFormat="false" ht="43.5" hidden="false" customHeight="true" outlineLevel="0" collapsed="false">
      <c r="A8" s="1"/>
      <c r="B8" s="32" t="n">
        <v>4</v>
      </c>
      <c r="C8" s="21"/>
      <c r="D8" s="21" t="s">
        <v>177</v>
      </c>
      <c r="E8" s="33" t="s">
        <v>77</v>
      </c>
      <c r="F8" s="33" t="s">
        <v>120</v>
      </c>
      <c r="G8" s="33" t="n">
        <v>0</v>
      </c>
      <c r="H8" s="33" t="n">
        <v>4.5</v>
      </c>
      <c r="I8" s="33" t="n">
        <v>0</v>
      </c>
      <c r="J8" s="34" t="n">
        <f aca="false">IFERROR(IF(H8=G8,IF(I8&gt;=H8,1,0),(I8-G8)/(H8-G8)),0)</f>
        <v>0</v>
      </c>
      <c r="K8" s="34" t="str">
        <f aca="false">IFERROR(AVERAGEIF(C5:C200,C8,J5:J200),"")</f>
        <v/>
      </c>
      <c r="L8" s="35" t="n">
        <v>100</v>
      </c>
      <c r="M8" s="36" t="n">
        <f aca="false">IFERROR(IF(H8=G8,IF(I8&gt;=H8,100,0),(I8-G8)/(H8-G8)*100),0)</f>
        <v>0</v>
      </c>
      <c r="N8" s="37" t="str">
        <f aca="false">IF(M8="","",IF(M8&gt;=90,"🏆 Supercharged",IF(M8&gt;=70,"🟢 On Track",IF(M8&gt;=40,"🟡 At Risk","🔴 Off Track"))))</f>
        <v>🔴 Off Track</v>
      </c>
      <c r="O8" s="33" t="s">
        <v>128</v>
      </c>
      <c r="P8" s="33"/>
      <c r="Q8" s="38" t="str">
        <f aca="false">'⚙️ Config'!C5</f>
        <v>Q3 2026</v>
      </c>
      <c r="R8" s="21" t="s">
        <v>172</v>
      </c>
      <c r="S8" s="33" t="s">
        <v>123</v>
      </c>
      <c r="T8" s="21" t="s">
        <v>178</v>
      </c>
      <c r="U8" s="21" t="s">
        <v>179</v>
      </c>
      <c r="V8" s="1"/>
    </row>
    <row r="9" customFormat="false" ht="43.5" hidden="false" customHeight="true" outlineLevel="0" collapsed="false">
      <c r="A9" s="1"/>
      <c r="B9" s="32" t="n">
        <v>5</v>
      </c>
      <c r="C9" s="19" t="s">
        <v>180</v>
      </c>
      <c r="D9" s="19" t="s">
        <v>181</v>
      </c>
      <c r="E9" s="39" t="s">
        <v>81</v>
      </c>
      <c r="F9" s="39" t="s">
        <v>127</v>
      </c>
      <c r="G9" s="39" t="n">
        <v>0</v>
      </c>
      <c r="H9" s="39" t="n">
        <v>15</v>
      </c>
      <c r="I9" s="39" t="n">
        <v>0</v>
      </c>
      <c r="J9" s="34" t="n">
        <f aca="false">IFERROR(IF(H9=G9,IF(I9&gt;=H9,1,0),(I9-G9)/(H9-G9)),0)</f>
        <v>0</v>
      </c>
      <c r="K9" s="34" t="n">
        <f aca="false">IFERROR(AVERAGEIF(C5:C200,C9,J5:J200),"")</f>
        <v>0</v>
      </c>
      <c r="L9" s="40" t="n">
        <v>100</v>
      </c>
      <c r="M9" s="36" t="n">
        <f aca="false">IFERROR(IF(H9=G9,IF(I9&gt;=H9,100,0),(I9-G9)/(H9-G9)*100),0)</f>
        <v>0</v>
      </c>
      <c r="N9" s="37" t="str">
        <f aca="false">IF(M9="","",IF(M9&gt;=90,"🏆 Supercharged",IF(M9&gt;=70,"🟢 On Track",IF(M9&gt;=40,"🟡 At Risk","🔴 Off Track"))))</f>
        <v>🔴 Off Track</v>
      </c>
      <c r="O9" s="39" t="s">
        <v>121</v>
      </c>
      <c r="P9" s="39"/>
      <c r="Q9" s="38" t="str">
        <f aca="false">'⚙️ Config'!C5</f>
        <v>Q3 2026</v>
      </c>
      <c r="R9" s="19" t="s">
        <v>182</v>
      </c>
      <c r="S9" s="39" t="s">
        <v>129</v>
      </c>
      <c r="T9" s="19" t="s">
        <v>183</v>
      </c>
      <c r="U9" s="19" t="s">
        <v>184</v>
      </c>
      <c r="V9" s="1"/>
    </row>
    <row r="10" customFormat="false" ht="43.5" hidden="false" customHeight="true" outlineLevel="0" collapsed="false">
      <c r="A10" s="1"/>
      <c r="B10" s="32" t="n">
        <v>6</v>
      </c>
      <c r="C10" s="19"/>
      <c r="D10" s="19" t="s">
        <v>185</v>
      </c>
      <c r="E10" s="39" t="s">
        <v>81</v>
      </c>
      <c r="F10" s="39" t="s">
        <v>120</v>
      </c>
      <c r="G10" s="39" t="n">
        <v>0</v>
      </c>
      <c r="H10" s="39" t="n">
        <v>500</v>
      </c>
      <c r="I10" s="39" t="n">
        <v>0</v>
      </c>
      <c r="J10" s="34" t="n">
        <f aca="false">IFERROR(IF(H10=G10,IF(I10&gt;=H10,1,0),(I10-G10)/(H10-G10)),0)</f>
        <v>0</v>
      </c>
      <c r="K10" s="34" t="str">
        <f aca="false">IFERROR(AVERAGEIF(C5:C200,C10,J5:J200),"")</f>
        <v/>
      </c>
      <c r="L10" s="40" t="n">
        <v>100</v>
      </c>
      <c r="M10" s="36" t="n">
        <f aca="false">IFERROR(IF(H10=G10,IF(I10&gt;=H10,100,0),(I10-G10)/(H10-G10)*100),0)</f>
        <v>0</v>
      </c>
      <c r="N10" s="37" t="str">
        <f aca="false">IF(M10="","",IF(M10&gt;=90,"🏆 Supercharged",IF(M10&gt;=70,"🟢 On Track",IF(M10&gt;=40,"🟡 At Risk","🔴 Off Track"))))</f>
        <v>🔴 Off Track</v>
      </c>
      <c r="O10" s="39" t="s">
        <v>128</v>
      </c>
      <c r="P10" s="39"/>
      <c r="Q10" s="38" t="str">
        <f aca="false">'⚙️ Config'!C5</f>
        <v>Q3 2026</v>
      </c>
      <c r="R10" s="19" t="s">
        <v>182</v>
      </c>
      <c r="S10" s="39" t="s">
        <v>123</v>
      </c>
      <c r="T10" s="19" t="s">
        <v>186</v>
      </c>
      <c r="U10" s="19" t="s">
        <v>187</v>
      </c>
      <c r="V10" s="1"/>
    </row>
    <row r="11" customFormat="false" ht="43.5" hidden="false" customHeight="true" outlineLevel="0" collapsed="false">
      <c r="A11" s="1"/>
      <c r="B11" s="32" t="n">
        <v>7</v>
      </c>
      <c r="C11" s="19"/>
      <c r="D11" s="19" t="s">
        <v>188</v>
      </c>
      <c r="E11" s="39" t="s">
        <v>81</v>
      </c>
      <c r="F11" s="39" t="s">
        <v>120</v>
      </c>
      <c r="G11" s="39" t="n">
        <v>0</v>
      </c>
      <c r="H11" s="39" t="n">
        <v>3</v>
      </c>
      <c r="I11" s="39" t="n">
        <v>0</v>
      </c>
      <c r="J11" s="34" t="n">
        <f aca="false">IFERROR(IF(H11=G11,IF(I11&gt;=H11,1,0),(I11-G11)/(H11-G11)),0)</f>
        <v>0</v>
      </c>
      <c r="K11" s="34" t="str">
        <f aca="false">IFERROR(AVERAGEIF(C5:C200,C11,J5:J200),"")</f>
        <v/>
      </c>
      <c r="L11" s="40" t="n">
        <v>100</v>
      </c>
      <c r="M11" s="36" t="n">
        <f aca="false">IFERROR(IF(H11=G11,IF(I11&gt;=H11,100,0),(I11-G11)/(H11-G11)*100),0)</f>
        <v>0</v>
      </c>
      <c r="N11" s="37" t="str">
        <f aca="false">IF(M11="","",IF(M11&gt;=90,"🏆 Supercharged",IF(M11&gt;=70,"🟢 On Track",IF(M11&gt;=40,"🟡 At Risk","🔴 Off Track"))))</f>
        <v>🔴 Off Track</v>
      </c>
      <c r="O11" s="39" t="s">
        <v>133</v>
      </c>
      <c r="P11" s="39"/>
      <c r="Q11" s="38" t="str">
        <f aca="false">'⚙️ Config'!C5</f>
        <v>Q3 2026</v>
      </c>
      <c r="R11" s="19" t="s">
        <v>182</v>
      </c>
      <c r="S11" s="39" t="s">
        <v>123</v>
      </c>
      <c r="T11" s="19" t="s">
        <v>189</v>
      </c>
      <c r="U11" s="19" t="s">
        <v>190</v>
      </c>
      <c r="V11" s="1"/>
    </row>
    <row r="12" customFormat="false" ht="43.5" hidden="false" customHeight="true" outlineLevel="0" collapsed="false">
      <c r="A12" s="1"/>
      <c r="B12" s="32" t="n">
        <v>8</v>
      </c>
      <c r="C12" s="19"/>
      <c r="D12" s="19" t="s">
        <v>191</v>
      </c>
      <c r="E12" s="39" t="s">
        <v>81</v>
      </c>
      <c r="F12" s="39" t="s">
        <v>120</v>
      </c>
      <c r="G12" s="39" t="n">
        <v>0</v>
      </c>
      <c r="H12" s="39" t="n">
        <v>10</v>
      </c>
      <c r="I12" s="39" t="n">
        <v>0</v>
      </c>
      <c r="J12" s="34" t="n">
        <f aca="false">IFERROR(IF(H12=G12,IF(I12&gt;=H12,1,0),(I12-G12)/(H12-G12)),0)</f>
        <v>0</v>
      </c>
      <c r="K12" s="34" t="str">
        <f aca="false">IFERROR(AVERAGEIF(C5:C200,C12,J5:J200),"")</f>
        <v/>
      </c>
      <c r="L12" s="40" t="n">
        <v>100</v>
      </c>
      <c r="M12" s="36" t="n">
        <f aca="false">IFERROR(IF(H12=G12,IF(I12&gt;=H12,100,0),(I12-G12)/(H12-G12)*100),0)</f>
        <v>0</v>
      </c>
      <c r="N12" s="37" t="str">
        <f aca="false">IF(M12="","",IF(M12&gt;=90,"🏆 Supercharged",IF(M12&gt;=70,"🟢 On Track",IF(M12&gt;=40,"🟡 At Risk","🔴 Off Track"))))</f>
        <v>🔴 Off Track</v>
      </c>
      <c r="O12" s="39" t="s">
        <v>128</v>
      </c>
      <c r="P12" s="39"/>
      <c r="Q12" s="38" t="str">
        <f aca="false">'⚙️ Config'!C5</f>
        <v>Q3 2026</v>
      </c>
      <c r="R12" s="19" t="s">
        <v>182</v>
      </c>
      <c r="S12" s="39" t="s">
        <v>123</v>
      </c>
      <c r="T12" s="19" t="s">
        <v>192</v>
      </c>
      <c r="U12" s="19" t="s">
        <v>193</v>
      </c>
      <c r="V12" s="1"/>
    </row>
    <row r="13" customFormat="false" ht="43.5" hidden="false" customHeight="true" outlineLevel="0" collapsed="false">
      <c r="A13" s="1"/>
      <c r="B13" s="32" t="n">
        <v>9</v>
      </c>
      <c r="C13" s="21" t="s">
        <v>194</v>
      </c>
      <c r="D13" s="21" t="s">
        <v>195</v>
      </c>
      <c r="E13" s="33" t="s">
        <v>75</v>
      </c>
      <c r="F13" s="33" t="s">
        <v>127</v>
      </c>
      <c r="G13" s="33" t="n">
        <v>0</v>
      </c>
      <c r="H13" s="33" t="n">
        <v>6</v>
      </c>
      <c r="I13" s="33" t="n">
        <v>0</v>
      </c>
      <c r="J13" s="34" t="n">
        <f aca="false">IFERROR(IF(H13=G13,IF(I13&gt;=H13,1,0),(I13-G13)/(H13-G13)),0)</f>
        <v>0</v>
      </c>
      <c r="K13" s="34" t="n">
        <f aca="false">IFERROR(AVERAGEIF(C5:C200,C13,J5:J200),"")</f>
        <v>0</v>
      </c>
      <c r="L13" s="35" t="n">
        <v>100</v>
      </c>
      <c r="M13" s="36" t="n">
        <f aca="false">IFERROR(IF(H13=G13,IF(I13&gt;=H13,100,0),(I13-G13)/(H13-G13)*100),0)</f>
        <v>0</v>
      </c>
      <c r="N13" s="37" t="str">
        <f aca="false">IF(M13="","",IF(M13&gt;=90,"🏆 Supercharged",IF(M13&gt;=70,"🟢 On Track",IF(M13&gt;=40,"🟡 At Risk","🔴 Off Track"))))</f>
        <v>🔴 Off Track</v>
      </c>
      <c r="O13" s="33" t="s">
        <v>121</v>
      </c>
      <c r="P13" s="33"/>
      <c r="Q13" s="38" t="str">
        <f aca="false">'⚙️ Config'!C5</f>
        <v>Q3 2026</v>
      </c>
      <c r="R13" s="21" t="s">
        <v>196</v>
      </c>
      <c r="S13" s="33" t="s">
        <v>129</v>
      </c>
      <c r="T13" s="21" t="s">
        <v>141</v>
      </c>
      <c r="U13" s="21" t="s">
        <v>197</v>
      </c>
      <c r="V13" s="1"/>
    </row>
    <row r="14" customFormat="false" ht="43.5" hidden="false" customHeight="true" outlineLevel="0" collapsed="false">
      <c r="A14" s="1"/>
      <c r="B14" s="32" t="n">
        <v>10</v>
      </c>
      <c r="C14" s="21"/>
      <c r="D14" s="21" t="s">
        <v>198</v>
      </c>
      <c r="E14" s="33" t="s">
        <v>75</v>
      </c>
      <c r="F14" s="33" t="s">
        <v>127</v>
      </c>
      <c r="G14" s="33" t="n">
        <v>0</v>
      </c>
      <c r="H14" s="33" t="n">
        <v>100</v>
      </c>
      <c r="I14" s="33" t="n">
        <v>60</v>
      </c>
      <c r="J14" s="34" t="n">
        <f aca="false">IFERROR(IF(H14=G14,IF(I14&gt;=H14,1,0),(I14-G14)/(H14-G14)),0)</f>
        <v>0.6</v>
      </c>
      <c r="K14" s="34" t="str">
        <f aca="false">IFERROR(AVERAGEIF(C5:C200,C14,J5:J200),"")</f>
        <v/>
      </c>
      <c r="L14" s="35" t="n">
        <v>100</v>
      </c>
      <c r="M14" s="36" t="n">
        <f aca="false">IFERROR(IF(H14=G14,IF(I14&gt;=H14,100,0),(I14-G14)/(H14-G14)*100),0)</f>
        <v>60</v>
      </c>
      <c r="N14" s="37" t="str">
        <f aca="false">IF(M14="","",IF(M14&gt;=90,"🏆 Supercharged",IF(M14&gt;=70,"🟢 On Track",IF(M14&gt;=40,"🟡 At Risk","🔴 Off Track"))))</f>
        <v>🟡 At Risk</v>
      </c>
      <c r="O14" s="33" t="s">
        <v>121</v>
      </c>
      <c r="P14" s="33"/>
      <c r="Q14" s="38" t="str">
        <f aca="false">'⚙️ Config'!C5</f>
        <v>Q3 2026</v>
      </c>
      <c r="R14" s="21" t="s">
        <v>199</v>
      </c>
      <c r="S14" s="33" t="s">
        <v>129</v>
      </c>
      <c r="T14" s="21" t="s">
        <v>141</v>
      </c>
      <c r="U14" s="21" t="s">
        <v>200</v>
      </c>
      <c r="V14" s="1"/>
    </row>
    <row r="15" customFormat="false" ht="43.5" hidden="false" customHeight="true" outlineLevel="0" collapsed="false">
      <c r="A15" s="1"/>
      <c r="B15" s="32" t="n">
        <v>11</v>
      </c>
      <c r="C15" s="21"/>
      <c r="D15" s="21" t="s">
        <v>201</v>
      </c>
      <c r="E15" s="33" t="s">
        <v>75</v>
      </c>
      <c r="F15" s="33" t="s">
        <v>120</v>
      </c>
      <c r="G15" s="33" t="n">
        <v>0</v>
      </c>
      <c r="H15" s="33" t="n">
        <v>80</v>
      </c>
      <c r="I15" s="33" t="n">
        <v>0</v>
      </c>
      <c r="J15" s="34" t="n">
        <f aca="false">IFERROR(IF(H15=G15,IF(I15&gt;=H15,1,0),(I15-G15)/(H15-G15)),0)</f>
        <v>0</v>
      </c>
      <c r="K15" s="34" t="str">
        <f aca="false">IFERROR(AVERAGEIF(C5:C200,C15,J5:J200),"")</f>
        <v/>
      </c>
      <c r="L15" s="35" t="n">
        <v>100</v>
      </c>
      <c r="M15" s="36" t="n">
        <f aca="false">IFERROR(IF(H15=G15,IF(I15&gt;=H15,100,0),(I15-G15)/(H15-G15)*100),0)</f>
        <v>0</v>
      </c>
      <c r="N15" s="37" t="str">
        <f aca="false">IF(M15="","",IF(M15&gt;=90,"🏆 Supercharged",IF(M15&gt;=70,"🟢 On Track",IF(M15&gt;=40,"🟡 At Risk","🔴 Off Track"))))</f>
        <v>🔴 Off Track</v>
      </c>
      <c r="O15" s="33" t="s">
        <v>133</v>
      </c>
      <c r="P15" s="33"/>
      <c r="Q15" s="38" t="str">
        <f aca="false">'⚙️ Config'!C5</f>
        <v>Q3 2026</v>
      </c>
      <c r="R15" s="21" t="s">
        <v>202</v>
      </c>
      <c r="S15" s="33" t="s">
        <v>123</v>
      </c>
      <c r="T15" s="21" t="s">
        <v>203</v>
      </c>
      <c r="U15" s="21" t="s">
        <v>204</v>
      </c>
      <c r="V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7.75" hidden="false" customHeight="true" outlineLevel="0" collapsed="false">
      <c r="A17" s="1"/>
      <c r="B17" s="41" t="s">
        <v>158</v>
      </c>
      <c r="C17" s="41"/>
      <c r="D17" s="41"/>
      <c r="E17" s="41"/>
      <c r="F17" s="28" t="s">
        <v>159</v>
      </c>
      <c r="G17" s="42" t="n">
        <f aca="false">IFERROR(AVERAGE(J5:J15),"—")</f>
        <v>0.118181818181818</v>
      </c>
      <c r="H17" s="28" t="s">
        <v>160</v>
      </c>
      <c r="I17" s="43" t="n">
        <f aca="false">IFERROR(AVERAGE(M5:M15),"—")</f>
        <v>11.8181818181818</v>
      </c>
      <c r="J17" s="28" t="s">
        <v>161</v>
      </c>
      <c r="K17" s="44" t="n">
        <f aca="false">COUNTIF(J5:J15,"&gt;=0.7")</f>
        <v>1</v>
      </c>
      <c r="L17" s="28" t="s">
        <v>162</v>
      </c>
      <c r="M17" s="44" t="n">
        <f aca="false">COUNTIFS(J5:J15,"&gt;=0.4",J5:J15,"&lt;0.7")</f>
        <v>1</v>
      </c>
      <c r="N17" s="28" t="s">
        <v>163</v>
      </c>
      <c r="O17" s="44" t="n">
        <f aca="false">COUNTIF(J5:J15,"&lt;0.4")</f>
        <v>9</v>
      </c>
      <c r="P17" s="1"/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</sheetData>
  <mergeCells count="7">
    <mergeCell ref="B1:U1"/>
    <mergeCell ref="B2:U2"/>
    <mergeCell ref="B3:E3"/>
    <mergeCell ref="F3:K3"/>
    <mergeCell ref="L3:N3"/>
    <mergeCell ref="O3:U3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V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11" min="8" style="0" width="12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8" min="16" style="0" width="14"/>
    <col collapsed="false" customWidth="true" hidden="false" outlineLevel="0" max="19" min="19" style="0" width="16"/>
    <col collapsed="false" customWidth="true" hidden="false" outlineLevel="0" max="21" min="20" style="0" width="14"/>
    <col collapsed="false" customWidth="true" hidden="false" outlineLevel="0" max="22" min="22" style="0" width="3"/>
  </cols>
  <sheetData>
    <row r="1" customFormat="false" ht="42" hidden="false" customHeight="true" outlineLevel="0" collapsed="false">
      <c r="A1" s="1"/>
      <c r="B1" s="46" t="s">
        <v>205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1"/>
    </row>
    <row r="2" customFormat="false" ht="18" hidden="false" customHeight="true" outlineLevel="0" collapsed="false">
      <c r="A2" s="1"/>
      <c r="B2" s="16" t="s">
        <v>93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"/>
    </row>
    <row r="3" customFormat="false" ht="21.75" hidden="false" customHeight="true" outlineLevel="0" collapsed="false">
      <c r="A3" s="1"/>
      <c r="B3" s="23"/>
      <c r="C3" s="23"/>
      <c r="D3" s="23"/>
      <c r="E3" s="23"/>
      <c r="F3" s="24" t="s">
        <v>94</v>
      </c>
      <c r="G3" s="24"/>
      <c r="H3" s="24"/>
      <c r="I3" s="24"/>
      <c r="J3" s="24"/>
      <c r="K3" s="24"/>
      <c r="L3" s="25" t="s">
        <v>95</v>
      </c>
      <c r="M3" s="25"/>
      <c r="N3" s="25"/>
      <c r="O3" s="26" t="s">
        <v>96</v>
      </c>
      <c r="P3" s="26"/>
      <c r="Q3" s="26"/>
      <c r="R3" s="26"/>
      <c r="S3" s="26"/>
      <c r="T3" s="26"/>
      <c r="U3" s="26"/>
      <c r="V3" s="1"/>
    </row>
    <row r="4" customFormat="false" ht="30" hidden="false" customHeight="true" outlineLevel="0" collapsed="false">
      <c r="A4" s="1"/>
      <c r="B4" s="27" t="s">
        <v>97</v>
      </c>
      <c r="C4" s="27" t="s">
        <v>98</v>
      </c>
      <c r="D4" s="28" t="s">
        <v>99</v>
      </c>
      <c r="E4" s="28" t="s">
        <v>100</v>
      </c>
      <c r="F4" s="28" t="s">
        <v>101</v>
      </c>
      <c r="G4" s="29" t="s">
        <v>102</v>
      </c>
      <c r="H4" s="29" t="s">
        <v>103</v>
      </c>
      <c r="I4" s="29" t="s">
        <v>104</v>
      </c>
      <c r="J4" s="29" t="s">
        <v>105</v>
      </c>
      <c r="K4" s="29" t="s">
        <v>106</v>
      </c>
      <c r="L4" s="29" t="s">
        <v>107</v>
      </c>
      <c r="M4" s="30" t="s">
        <v>108</v>
      </c>
      <c r="N4" s="30" t="s">
        <v>109</v>
      </c>
      <c r="O4" s="30" t="s">
        <v>110</v>
      </c>
      <c r="P4" s="31" t="s">
        <v>111</v>
      </c>
      <c r="Q4" s="31" t="s">
        <v>112</v>
      </c>
      <c r="R4" s="31" t="s">
        <v>113</v>
      </c>
      <c r="S4" s="31" t="s">
        <v>206</v>
      </c>
      <c r="T4" s="31" t="s">
        <v>115</v>
      </c>
      <c r="U4" s="31" t="s">
        <v>116</v>
      </c>
      <c r="V4" s="31" t="s">
        <v>117</v>
      </c>
    </row>
    <row r="5" customFormat="false" ht="43.5" hidden="false" customHeight="true" outlineLevel="0" collapsed="false">
      <c r="A5" s="1"/>
      <c r="B5" s="32" t="n">
        <v>1</v>
      </c>
      <c r="C5" s="21" t="s">
        <v>207</v>
      </c>
      <c r="D5" s="21" t="s">
        <v>208</v>
      </c>
      <c r="E5" s="33" t="s">
        <v>209</v>
      </c>
      <c r="F5" s="33" t="s">
        <v>127</v>
      </c>
      <c r="G5" s="33" t="n">
        <v>0</v>
      </c>
      <c r="H5" s="33" t="n">
        <v>30</v>
      </c>
      <c r="I5" s="33" t="n">
        <v>0</v>
      </c>
      <c r="J5" s="34" t="n">
        <f aca="false">IFERROR(IF(H5=G5,IF(I5&gt;=H5,1,0),(I5-G5)/(H5-G5)),0)</f>
        <v>0</v>
      </c>
      <c r="K5" s="34" t="n">
        <f aca="false">IFERROR(AVERAGEIF(C5:C200,C5,J5:J200),"")</f>
        <v>0</v>
      </c>
      <c r="L5" s="35" t="n">
        <v>100</v>
      </c>
      <c r="M5" s="36" t="n">
        <f aca="false">IFERROR(IF(H5=G5,IF(I5&gt;=H5,100,0),(I5-G5)/(H5-G5)*100),0)</f>
        <v>0</v>
      </c>
      <c r="N5" s="37" t="str">
        <f aca="false">IF(M5="","",IF(M5&gt;=90,"🏆 Supercharged",IF(M5&gt;=70,"🟢 On Track",IF(M5&gt;=40,"🟡 At Risk","🔴 Off Track"))))</f>
        <v>🔴 Off Track</v>
      </c>
      <c r="O5" s="33" t="s">
        <v>128</v>
      </c>
      <c r="P5" s="33"/>
      <c r="Q5" s="38" t="str">
        <f aca="false">'⚙️ Config'!C5</f>
        <v>Q3 2026</v>
      </c>
      <c r="R5" s="21" t="s">
        <v>210</v>
      </c>
      <c r="S5" s="33" t="s">
        <v>129</v>
      </c>
      <c r="T5" s="21" t="s">
        <v>211</v>
      </c>
      <c r="U5" s="21" t="s">
        <v>212</v>
      </c>
      <c r="V5" s="1"/>
    </row>
    <row r="6" customFormat="false" ht="43.5" hidden="false" customHeight="true" outlineLevel="0" collapsed="false">
      <c r="A6" s="1"/>
      <c r="B6" s="32" t="n">
        <v>2</v>
      </c>
      <c r="C6" s="21"/>
      <c r="D6" s="21" t="s">
        <v>213</v>
      </c>
      <c r="E6" s="33" t="s">
        <v>209</v>
      </c>
      <c r="F6" s="33" t="s">
        <v>127</v>
      </c>
      <c r="G6" s="33" t="n">
        <v>0</v>
      </c>
      <c r="H6" s="33" t="n">
        <v>1</v>
      </c>
      <c r="I6" s="33" t="n">
        <v>1</v>
      </c>
      <c r="J6" s="34" t="n">
        <f aca="false">IFERROR(IF(H6=G6,IF(I6&gt;=H6,1,0),(I6-G6)/(H6-G6)),0)</f>
        <v>1</v>
      </c>
      <c r="K6" s="34" t="str">
        <f aca="false">IFERROR(AVERAGEIF(C5:C200,C6,J5:J200),"")</f>
        <v/>
      </c>
      <c r="L6" s="35" t="n">
        <v>100</v>
      </c>
      <c r="M6" s="36" t="n">
        <f aca="false">IFERROR(IF(H6=G6,IF(I6&gt;=H6,100,0),(I6-G6)/(H6-G6)*100),0)</f>
        <v>100</v>
      </c>
      <c r="N6" s="37" t="str">
        <f aca="false">IF(M6="","",IF(M6&gt;=90,"🏆 Supercharged",IF(M6&gt;=70,"🟢 On Track",IF(M6&gt;=40,"🟡 At Risk","🔴 Off Track"))))</f>
        <v>🏆 Supercharged</v>
      </c>
      <c r="O6" s="33" t="s">
        <v>121</v>
      </c>
      <c r="P6" s="33"/>
      <c r="Q6" s="38" t="str">
        <f aca="false">'⚙️ Config'!C5</f>
        <v>Q3 2026</v>
      </c>
      <c r="R6" s="21" t="s">
        <v>210</v>
      </c>
      <c r="S6" s="33" t="s">
        <v>129</v>
      </c>
      <c r="T6" s="21" t="s">
        <v>141</v>
      </c>
      <c r="U6" s="21" t="s">
        <v>142</v>
      </c>
      <c r="V6" s="1"/>
    </row>
    <row r="7" customFormat="false" ht="43.5" hidden="false" customHeight="true" outlineLevel="0" collapsed="false">
      <c r="A7" s="1"/>
      <c r="B7" s="32" t="n">
        <v>3</v>
      </c>
      <c r="C7" s="21"/>
      <c r="D7" s="21" t="s">
        <v>214</v>
      </c>
      <c r="E7" s="33" t="s">
        <v>209</v>
      </c>
      <c r="F7" s="33" t="s">
        <v>127</v>
      </c>
      <c r="G7" s="33" t="n">
        <v>0</v>
      </c>
      <c r="H7" s="33" t="n">
        <v>1</v>
      </c>
      <c r="I7" s="33" t="n">
        <v>1</v>
      </c>
      <c r="J7" s="34" t="n">
        <f aca="false">IFERROR(IF(H7=G7,IF(I7&gt;=H7,1,0),(I7-G7)/(H7-G7)),0)</f>
        <v>1</v>
      </c>
      <c r="K7" s="34" t="str">
        <f aca="false">IFERROR(AVERAGEIF(C5:C200,C7,J5:J200),"")</f>
        <v/>
      </c>
      <c r="L7" s="35" t="n">
        <v>100</v>
      </c>
      <c r="M7" s="36" t="n">
        <f aca="false">IFERROR(IF(H7=G7,IF(I7&gt;=H7,100,0),(I7-G7)/(H7-G7)*100),0)</f>
        <v>100</v>
      </c>
      <c r="N7" s="37" t="str">
        <f aca="false">IF(M7="","",IF(M7&gt;=90,"🏆 Supercharged",IF(M7&gt;=70,"🟢 On Track",IF(M7&gt;=40,"🟡 At Risk","🔴 Off Track"))))</f>
        <v>🏆 Supercharged</v>
      </c>
      <c r="O7" s="33" t="s">
        <v>121</v>
      </c>
      <c r="P7" s="33"/>
      <c r="Q7" s="38" t="str">
        <f aca="false">'⚙️ Config'!C5</f>
        <v>Q3 2026</v>
      </c>
      <c r="R7" s="21" t="s">
        <v>210</v>
      </c>
      <c r="S7" s="33" t="s">
        <v>129</v>
      </c>
      <c r="T7" s="21" t="s">
        <v>141</v>
      </c>
      <c r="U7" s="21" t="s">
        <v>142</v>
      </c>
      <c r="V7" s="1"/>
    </row>
    <row r="8" customFormat="false" ht="43.5" hidden="false" customHeight="true" outlineLevel="0" collapsed="false">
      <c r="A8" s="1"/>
      <c r="B8" s="32" t="n">
        <v>4</v>
      </c>
      <c r="C8" s="21"/>
      <c r="D8" s="21" t="s">
        <v>215</v>
      </c>
      <c r="E8" s="33" t="s">
        <v>209</v>
      </c>
      <c r="F8" s="33" t="s">
        <v>127</v>
      </c>
      <c r="G8" s="33" t="n">
        <v>0</v>
      </c>
      <c r="H8" s="33" t="n">
        <v>95</v>
      </c>
      <c r="I8" s="33" t="n">
        <v>0</v>
      </c>
      <c r="J8" s="34" t="n">
        <f aca="false">IFERROR(IF(H8=G8,IF(I8&gt;=H8,1,0),(I8-G8)/(H8-G8)),0)</f>
        <v>0</v>
      </c>
      <c r="K8" s="34" t="str">
        <f aca="false">IFERROR(AVERAGEIF(C5:C200,C8,J5:J200),"")</f>
        <v/>
      </c>
      <c r="L8" s="35" t="n">
        <v>100</v>
      </c>
      <c r="M8" s="36" t="n">
        <f aca="false">IFERROR(IF(H8=G8,IF(I8&gt;=H8,100,0),(I8-G8)/(H8-G8)*100),0)</f>
        <v>0</v>
      </c>
      <c r="N8" s="37" t="str">
        <f aca="false">IF(M8="","",IF(M8&gt;=90,"🏆 Supercharged",IF(M8&gt;=70,"🟢 On Track",IF(M8&gt;=40,"🟡 At Risk","🔴 Off Track"))))</f>
        <v>🔴 Off Track</v>
      </c>
      <c r="O8" s="33" t="s">
        <v>121</v>
      </c>
      <c r="P8" s="33"/>
      <c r="Q8" s="38" t="str">
        <f aca="false">'⚙️ Config'!C5</f>
        <v>Q3 2026</v>
      </c>
      <c r="R8" s="21" t="s">
        <v>210</v>
      </c>
      <c r="S8" s="33" t="s">
        <v>129</v>
      </c>
      <c r="T8" s="21" t="s">
        <v>216</v>
      </c>
      <c r="U8" s="21" t="s">
        <v>217</v>
      </c>
      <c r="V8" s="1"/>
    </row>
    <row r="9" customFormat="false" ht="43.5" hidden="false" customHeight="true" outlineLevel="0" collapsed="false">
      <c r="A9" s="1"/>
      <c r="B9" s="32" t="n">
        <v>5</v>
      </c>
      <c r="C9" s="19" t="s">
        <v>218</v>
      </c>
      <c r="D9" s="19" t="s">
        <v>219</v>
      </c>
      <c r="E9" s="39" t="s">
        <v>220</v>
      </c>
      <c r="F9" s="39" t="s">
        <v>127</v>
      </c>
      <c r="G9" s="39" t="n">
        <v>0</v>
      </c>
      <c r="H9" s="39" t="n">
        <v>15</v>
      </c>
      <c r="I9" s="39" t="n">
        <v>15</v>
      </c>
      <c r="J9" s="34" t="n">
        <f aca="false">IFERROR(IF(H9=G9,IF(I9&gt;=H9,1,0),(I9-G9)/(H9-G9)),0)</f>
        <v>1</v>
      </c>
      <c r="K9" s="34" t="n">
        <f aca="false">IFERROR(AVERAGEIF(C5:C200,C9,J5:J200),"")</f>
        <v>1</v>
      </c>
      <c r="L9" s="40" t="n">
        <v>100</v>
      </c>
      <c r="M9" s="36" t="n">
        <f aca="false">IFERROR(IF(H9=G9,IF(I9&gt;=H9,100,0),(I9-G9)/(H9-G9)*100),0)</f>
        <v>100</v>
      </c>
      <c r="N9" s="37" t="str">
        <f aca="false">IF(M9="","",IF(M9&gt;=90,"🏆 Supercharged",IF(M9&gt;=70,"🟢 On Track",IF(M9&gt;=40,"🟡 At Risk","🔴 Off Track"))))</f>
        <v>🏆 Supercharged</v>
      </c>
      <c r="O9" s="39" t="s">
        <v>121</v>
      </c>
      <c r="P9" s="39"/>
      <c r="Q9" s="38" t="str">
        <f aca="false">'⚙️ Config'!C5</f>
        <v>Q3 2026</v>
      </c>
      <c r="R9" s="19" t="s">
        <v>221</v>
      </c>
      <c r="S9" s="39" t="s">
        <v>129</v>
      </c>
      <c r="T9" s="19" t="s">
        <v>141</v>
      </c>
      <c r="U9" s="19" t="s">
        <v>142</v>
      </c>
      <c r="V9" s="1"/>
    </row>
    <row r="10" customFormat="false" ht="43.5" hidden="false" customHeight="true" outlineLevel="0" collapsed="false">
      <c r="A10" s="1"/>
      <c r="B10" s="32" t="n">
        <v>6</v>
      </c>
      <c r="C10" s="19"/>
      <c r="D10" s="19" t="s">
        <v>222</v>
      </c>
      <c r="E10" s="39" t="s">
        <v>220</v>
      </c>
      <c r="F10" s="39" t="s">
        <v>120</v>
      </c>
      <c r="G10" s="39" t="n">
        <v>0</v>
      </c>
      <c r="H10" s="39" t="n">
        <v>5</v>
      </c>
      <c r="I10" s="39" t="n">
        <v>0</v>
      </c>
      <c r="J10" s="34" t="n">
        <f aca="false">IFERROR(IF(H10=G10,IF(I10&gt;=H10,1,0),(I10-G10)/(H10-G10)),0)</f>
        <v>0</v>
      </c>
      <c r="K10" s="34" t="str">
        <f aca="false">IFERROR(AVERAGEIF(C5:C200,C10,J5:J200),"")</f>
        <v/>
      </c>
      <c r="L10" s="40" t="n">
        <v>100</v>
      </c>
      <c r="M10" s="36" t="n">
        <f aca="false">IFERROR(IF(H10=G10,IF(I10&gt;=H10,100,0),(I10-G10)/(H10-G10)*100),0)</f>
        <v>0</v>
      </c>
      <c r="N10" s="37" t="str">
        <f aca="false">IF(M10="","",IF(M10&gt;=90,"🏆 Supercharged",IF(M10&gt;=70,"🟢 On Track",IF(M10&gt;=40,"🟡 At Risk","🔴 Off Track"))))</f>
        <v>🔴 Off Track</v>
      </c>
      <c r="O10" s="39" t="s">
        <v>128</v>
      </c>
      <c r="P10" s="39"/>
      <c r="Q10" s="38" t="str">
        <f aca="false">'⚙️ Config'!C5</f>
        <v>Q3 2026</v>
      </c>
      <c r="R10" s="19" t="s">
        <v>221</v>
      </c>
      <c r="S10" s="39" t="s">
        <v>123</v>
      </c>
      <c r="T10" s="19" t="s">
        <v>223</v>
      </c>
      <c r="U10" s="19" t="s">
        <v>224</v>
      </c>
      <c r="V10" s="1"/>
    </row>
    <row r="11" customFormat="false" ht="43.5" hidden="false" customHeight="true" outlineLevel="0" collapsed="false">
      <c r="A11" s="1"/>
      <c r="B11" s="32" t="n">
        <v>7</v>
      </c>
      <c r="C11" s="19"/>
      <c r="D11" s="19" t="s">
        <v>225</v>
      </c>
      <c r="E11" s="39" t="s">
        <v>220</v>
      </c>
      <c r="F11" s="39" t="s">
        <v>120</v>
      </c>
      <c r="G11" s="39" t="n">
        <v>0</v>
      </c>
      <c r="H11" s="39" t="n">
        <v>10</v>
      </c>
      <c r="I11" s="39" t="n">
        <v>0</v>
      </c>
      <c r="J11" s="34" t="n">
        <f aca="false">IFERROR(IF(H11=G11,IF(I11&gt;=H11,1,0),(I11-G11)/(H11-G11)),0)</f>
        <v>0</v>
      </c>
      <c r="K11" s="34" t="str">
        <f aca="false">IFERROR(AVERAGEIF(C5:C200,C11,J5:J200),"")</f>
        <v/>
      </c>
      <c r="L11" s="40" t="n">
        <v>100</v>
      </c>
      <c r="M11" s="36" t="n">
        <f aca="false">IFERROR(IF(H11=G11,IF(I11&gt;=H11,100,0),(I11-G11)/(H11-G11)*100),0)</f>
        <v>0</v>
      </c>
      <c r="N11" s="37" t="str">
        <f aca="false">IF(M11="","",IF(M11&gt;=90,"🏆 Supercharged",IF(M11&gt;=70,"🟢 On Track",IF(M11&gt;=40,"🟡 At Risk","🔴 Off Track"))))</f>
        <v>🔴 Off Track</v>
      </c>
      <c r="O11" s="39" t="s">
        <v>133</v>
      </c>
      <c r="P11" s="39"/>
      <c r="Q11" s="38" t="str">
        <f aca="false">'⚙️ Config'!C5</f>
        <v>Q3 2026</v>
      </c>
      <c r="R11" s="19" t="s">
        <v>226</v>
      </c>
      <c r="S11" s="39" t="s">
        <v>123</v>
      </c>
      <c r="T11" s="19" t="s">
        <v>141</v>
      </c>
      <c r="U11" s="19" t="s">
        <v>227</v>
      </c>
      <c r="V11" s="1"/>
    </row>
    <row r="12" customFormat="false" ht="43.5" hidden="false" customHeight="true" outlineLevel="0" collapsed="false">
      <c r="A12" s="1"/>
      <c r="B12" s="32" t="n">
        <v>8</v>
      </c>
      <c r="C12" s="19"/>
      <c r="D12" s="19" t="s">
        <v>228</v>
      </c>
      <c r="E12" s="39" t="s">
        <v>220</v>
      </c>
      <c r="F12" s="39" t="s">
        <v>120</v>
      </c>
      <c r="G12" s="39" t="n">
        <v>0</v>
      </c>
      <c r="H12" s="39" t="n">
        <v>1</v>
      </c>
      <c r="I12" s="39" t="n">
        <v>0</v>
      </c>
      <c r="J12" s="34" t="n">
        <f aca="false">IFERROR(IF(H12=G12,IF(I12&gt;=H12,1,0),(I12-G12)/(H12-G12)),0)</f>
        <v>0</v>
      </c>
      <c r="K12" s="34" t="str">
        <f aca="false">IFERROR(AVERAGEIF(C5:C200,C12,J5:J200),"")</f>
        <v/>
      </c>
      <c r="L12" s="40" t="n">
        <v>100</v>
      </c>
      <c r="M12" s="36" t="n">
        <f aca="false">IFERROR(IF(H12=G12,IF(I12&gt;=H12,100,0),(I12-G12)/(H12-G12)*100),0)</f>
        <v>0</v>
      </c>
      <c r="N12" s="37" t="str">
        <f aca="false">IF(M12="","",IF(M12&gt;=90,"🏆 Supercharged",IF(M12&gt;=70,"🟢 On Track",IF(M12&gt;=40,"🟡 At Risk","🔴 Off Track"))))</f>
        <v>🔴 Off Track</v>
      </c>
      <c r="O12" s="39" t="s">
        <v>133</v>
      </c>
      <c r="P12" s="39"/>
      <c r="Q12" s="38" t="str">
        <f aca="false">'⚙️ Config'!C5</f>
        <v>Q3 2026</v>
      </c>
      <c r="R12" s="19" t="s">
        <v>229</v>
      </c>
      <c r="S12" s="39" t="s">
        <v>123</v>
      </c>
      <c r="T12" s="19" t="s">
        <v>230</v>
      </c>
      <c r="U12" s="19" t="s">
        <v>231</v>
      </c>
      <c r="V12" s="1"/>
    </row>
    <row r="13" customFormat="false" ht="43.5" hidden="false" customHeight="true" outlineLevel="0" collapsed="false">
      <c r="A13" s="1"/>
      <c r="B13" s="32" t="n">
        <v>9</v>
      </c>
      <c r="C13" s="21" t="s">
        <v>232</v>
      </c>
      <c r="D13" s="21" t="s">
        <v>233</v>
      </c>
      <c r="E13" s="33" t="s">
        <v>234</v>
      </c>
      <c r="F13" s="33" t="s">
        <v>127</v>
      </c>
      <c r="G13" s="33" t="n">
        <v>0</v>
      </c>
      <c r="H13" s="33" t="n">
        <v>5</v>
      </c>
      <c r="I13" s="33" t="n">
        <v>0</v>
      </c>
      <c r="J13" s="34" t="n">
        <f aca="false">IFERROR(IF(H13=G13,IF(I13&gt;=H13,1,0),(I13-G13)/(H13-G13)),0)</f>
        <v>0</v>
      </c>
      <c r="K13" s="34" t="n">
        <f aca="false">IFERROR(AVERAGEIF(C5:C200,C13,J5:J200),"")</f>
        <v>0</v>
      </c>
      <c r="L13" s="35" t="n">
        <v>100</v>
      </c>
      <c r="M13" s="36" t="n">
        <f aca="false">IFERROR(IF(H13=G13,IF(I13&gt;=H13,100,0),(I13-G13)/(H13-G13)*100),0)</f>
        <v>0</v>
      </c>
      <c r="N13" s="37" t="str">
        <f aca="false">IF(M13="","",IF(M13&gt;=90,"🏆 Supercharged",IF(M13&gt;=70,"🟢 On Track",IF(M13&gt;=40,"🟡 At Risk","🔴 Off Track"))))</f>
        <v>🔴 Off Track</v>
      </c>
      <c r="O13" s="33" t="s">
        <v>128</v>
      </c>
      <c r="P13" s="33"/>
      <c r="Q13" s="38" t="str">
        <f aca="false">'⚙️ Config'!C5</f>
        <v>Q3 2026</v>
      </c>
      <c r="R13" s="21" t="s">
        <v>235</v>
      </c>
      <c r="S13" s="33" t="s">
        <v>129</v>
      </c>
      <c r="T13" s="21" t="s">
        <v>236</v>
      </c>
      <c r="U13" s="21" t="s">
        <v>187</v>
      </c>
      <c r="V13" s="1"/>
    </row>
    <row r="14" customFormat="false" ht="43.5" hidden="false" customHeight="true" outlineLevel="0" collapsed="false">
      <c r="A14" s="1"/>
      <c r="B14" s="32" t="n">
        <v>10</v>
      </c>
      <c r="C14" s="21"/>
      <c r="D14" s="21" t="s">
        <v>237</v>
      </c>
      <c r="E14" s="33" t="s">
        <v>234</v>
      </c>
      <c r="F14" s="33" t="s">
        <v>127</v>
      </c>
      <c r="G14" s="33" t="n">
        <v>0</v>
      </c>
      <c r="H14" s="33" t="n">
        <v>10</v>
      </c>
      <c r="I14" s="33" t="n">
        <v>0</v>
      </c>
      <c r="J14" s="34" t="n">
        <f aca="false">IFERROR(IF(H14=G14,IF(I14&gt;=H14,1,0),(I14-G14)/(H14-G14)),0)</f>
        <v>0</v>
      </c>
      <c r="K14" s="34" t="str">
        <f aca="false">IFERROR(AVERAGEIF(C5:C200,C14,J5:J200),"")</f>
        <v/>
      </c>
      <c r="L14" s="35" t="n">
        <v>100</v>
      </c>
      <c r="M14" s="36" t="n">
        <f aca="false">IFERROR(IF(H14=G14,IF(I14&gt;=H14,100,0),(I14-G14)/(H14-G14)*100),0)</f>
        <v>0</v>
      </c>
      <c r="N14" s="37" t="str">
        <f aca="false">IF(M14="","",IF(M14&gt;=90,"🏆 Supercharged",IF(M14&gt;=70,"🟢 On Track",IF(M14&gt;=40,"🟡 At Risk","🔴 Off Track"))))</f>
        <v>🔴 Off Track</v>
      </c>
      <c r="O14" s="33" t="s">
        <v>128</v>
      </c>
      <c r="P14" s="33"/>
      <c r="Q14" s="38" t="str">
        <f aca="false">'⚙️ Config'!C5</f>
        <v>Q3 2026</v>
      </c>
      <c r="R14" s="21" t="s">
        <v>238</v>
      </c>
      <c r="S14" s="33" t="s">
        <v>129</v>
      </c>
      <c r="T14" s="21" t="s">
        <v>141</v>
      </c>
      <c r="U14" s="21" t="s">
        <v>239</v>
      </c>
      <c r="V14" s="1"/>
    </row>
    <row r="15" customFormat="false" ht="43.5" hidden="false" customHeight="true" outlineLevel="0" collapsed="false">
      <c r="A15" s="1"/>
      <c r="B15" s="32" t="n">
        <v>11</v>
      </c>
      <c r="C15" s="21"/>
      <c r="D15" s="21" t="s">
        <v>240</v>
      </c>
      <c r="E15" s="33" t="s">
        <v>234</v>
      </c>
      <c r="F15" s="33" t="s">
        <v>127</v>
      </c>
      <c r="G15" s="33" t="n">
        <v>0</v>
      </c>
      <c r="H15" s="33" t="n">
        <v>24</v>
      </c>
      <c r="I15" s="33" t="n">
        <v>0</v>
      </c>
      <c r="J15" s="34" t="n">
        <f aca="false">IFERROR(IF(H15=G15,IF(I15&gt;=H15,1,0),(I15-G15)/(H15-G15)),0)</f>
        <v>0</v>
      </c>
      <c r="K15" s="34" t="str">
        <f aca="false">IFERROR(AVERAGEIF(C5:C200,C15,J5:J200),"")</f>
        <v/>
      </c>
      <c r="L15" s="35" t="n">
        <v>100</v>
      </c>
      <c r="M15" s="36" t="n">
        <f aca="false">IFERROR(IF(H15=G15,IF(I15&gt;=H15,100,0),(I15-G15)/(H15-G15)*100),0)</f>
        <v>0</v>
      </c>
      <c r="N15" s="37" t="str">
        <f aca="false">IF(M15="","",IF(M15&gt;=90,"🏆 Supercharged",IF(M15&gt;=70,"🟢 On Track",IF(M15&gt;=40,"🟡 At Risk","🔴 Off Track"))))</f>
        <v>🔴 Off Track</v>
      </c>
      <c r="O15" s="33" t="s">
        <v>121</v>
      </c>
      <c r="P15" s="33"/>
      <c r="Q15" s="38" t="str">
        <f aca="false">'⚙️ Config'!C5</f>
        <v>Q3 2026</v>
      </c>
      <c r="R15" s="21" t="s">
        <v>241</v>
      </c>
      <c r="S15" s="33" t="s">
        <v>129</v>
      </c>
      <c r="T15" s="21" t="s">
        <v>141</v>
      </c>
      <c r="U15" s="21" t="s">
        <v>242</v>
      </c>
      <c r="V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7.75" hidden="false" customHeight="true" outlineLevel="0" collapsed="false">
      <c r="A17" s="1"/>
      <c r="B17" s="41" t="s">
        <v>158</v>
      </c>
      <c r="C17" s="41"/>
      <c r="D17" s="41"/>
      <c r="E17" s="41"/>
      <c r="F17" s="28" t="s">
        <v>159</v>
      </c>
      <c r="G17" s="42" t="n">
        <f aca="false">IFERROR(AVERAGE(J5:J15),"—")</f>
        <v>0.272727272727273</v>
      </c>
      <c r="H17" s="28" t="s">
        <v>160</v>
      </c>
      <c r="I17" s="43" t="n">
        <f aca="false">IFERROR(AVERAGE(M5:M15),"—")</f>
        <v>27.2727272727273</v>
      </c>
      <c r="J17" s="28" t="s">
        <v>161</v>
      </c>
      <c r="K17" s="44" t="n">
        <f aca="false">COUNTIF(J5:J15,"&gt;=0.7")</f>
        <v>3</v>
      </c>
      <c r="L17" s="28" t="s">
        <v>162</v>
      </c>
      <c r="M17" s="44" t="n">
        <f aca="false">COUNTIFS(J5:J15,"&gt;=0.4",J5:J15,"&lt;0.7")</f>
        <v>0</v>
      </c>
      <c r="N17" s="28" t="s">
        <v>163</v>
      </c>
      <c r="O17" s="44" t="n">
        <f aca="false">COUNTIF(J5:J15,"&lt;0.4")</f>
        <v>8</v>
      </c>
      <c r="P17" s="1"/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</sheetData>
  <mergeCells count="7">
    <mergeCell ref="B1:U1"/>
    <mergeCell ref="B2:U2"/>
    <mergeCell ref="B3:E3"/>
    <mergeCell ref="F3:K3"/>
    <mergeCell ref="L3:N3"/>
    <mergeCell ref="O3:U3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V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11" min="8" style="0" width="12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8" min="16" style="0" width="14"/>
    <col collapsed="false" customWidth="true" hidden="false" outlineLevel="0" max="19" min="19" style="0" width="16"/>
    <col collapsed="false" customWidth="true" hidden="false" outlineLevel="0" max="21" min="20" style="0" width="14"/>
    <col collapsed="false" customWidth="true" hidden="false" outlineLevel="0" max="22" min="22" style="0" width="3"/>
  </cols>
  <sheetData>
    <row r="1" customFormat="false" ht="42" hidden="false" customHeight="true" outlineLevel="0" collapsed="false">
      <c r="A1" s="1"/>
      <c r="B1" s="47" t="s">
        <v>243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1"/>
    </row>
    <row r="2" customFormat="false" ht="18" hidden="false" customHeight="true" outlineLevel="0" collapsed="false">
      <c r="A2" s="1"/>
      <c r="B2" s="16" t="s">
        <v>93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"/>
    </row>
    <row r="3" customFormat="false" ht="21.75" hidden="false" customHeight="true" outlineLevel="0" collapsed="false">
      <c r="A3" s="1"/>
      <c r="B3" s="23"/>
      <c r="C3" s="23"/>
      <c r="D3" s="23"/>
      <c r="E3" s="23"/>
      <c r="F3" s="24" t="s">
        <v>94</v>
      </c>
      <c r="G3" s="24"/>
      <c r="H3" s="24"/>
      <c r="I3" s="24"/>
      <c r="J3" s="24"/>
      <c r="K3" s="24"/>
      <c r="L3" s="25" t="s">
        <v>95</v>
      </c>
      <c r="M3" s="25"/>
      <c r="N3" s="25"/>
      <c r="O3" s="26" t="s">
        <v>96</v>
      </c>
      <c r="P3" s="26"/>
      <c r="Q3" s="26"/>
      <c r="R3" s="26"/>
      <c r="S3" s="26"/>
      <c r="T3" s="26"/>
      <c r="U3" s="26"/>
      <c r="V3" s="1"/>
    </row>
    <row r="4" customFormat="false" ht="30" hidden="false" customHeight="true" outlineLevel="0" collapsed="false">
      <c r="A4" s="1"/>
      <c r="B4" s="27" t="s">
        <v>97</v>
      </c>
      <c r="C4" s="27" t="s">
        <v>98</v>
      </c>
      <c r="D4" s="28" t="s">
        <v>99</v>
      </c>
      <c r="E4" s="28" t="s">
        <v>100</v>
      </c>
      <c r="F4" s="28" t="s">
        <v>101</v>
      </c>
      <c r="G4" s="29" t="s">
        <v>102</v>
      </c>
      <c r="H4" s="29" t="s">
        <v>103</v>
      </c>
      <c r="I4" s="29" t="s">
        <v>104</v>
      </c>
      <c r="J4" s="29" t="s">
        <v>105</v>
      </c>
      <c r="K4" s="29" t="s">
        <v>106</v>
      </c>
      <c r="L4" s="29" t="s">
        <v>107</v>
      </c>
      <c r="M4" s="30" t="s">
        <v>108</v>
      </c>
      <c r="N4" s="30" t="s">
        <v>109</v>
      </c>
      <c r="O4" s="30" t="s">
        <v>110</v>
      </c>
      <c r="P4" s="31" t="s">
        <v>111</v>
      </c>
      <c r="Q4" s="31" t="s">
        <v>112</v>
      </c>
      <c r="R4" s="31" t="s">
        <v>113</v>
      </c>
      <c r="S4" s="31" t="s">
        <v>244</v>
      </c>
      <c r="T4" s="31" t="s">
        <v>115</v>
      </c>
      <c r="U4" s="31" t="s">
        <v>116</v>
      </c>
      <c r="V4" s="31" t="s">
        <v>117</v>
      </c>
    </row>
    <row r="5" customFormat="false" ht="43.5" hidden="false" customHeight="true" outlineLevel="0" collapsed="false">
      <c r="A5" s="1"/>
      <c r="B5" s="32" t="n">
        <v>1</v>
      </c>
      <c r="C5" s="21" t="s">
        <v>245</v>
      </c>
      <c r="D5" s="21" t="s">
        <v>246</v>
      </c>
      <c r="E5" s="33" t="s">
        <v>247</v>
      </c>
      <c r="F5" s="33" t="s">
        <v>127</v>
      </c>
      <c r="G5" s="33" t="n">
        <v>0</v>
      </c>
      <c r="H5" s="33" t="n">
        <v>13</v>
      </c>
      <c r="I5" s="33" t="n">
        <v>6</v>
      </c>
      <c r="J5" s="34" t="n">
        <f aca="false">IFERROR(IF(H5=G5,IF(I5&gt;=H5,1,0),(I5-G5)/(H5-G5)),0)</f>
        <v>0.461538461538462</v>
      </c>
      <c r="K5" s="34" t="n">
        <f aca="false">IFERROR(AVERAGEIF(C5:C200,C5,J5:J200),"")</f>
        <v>0.461538461538462</v>
      </c>
      <c r="L5" s="35" t="n">
        <v>100</v>
      </c>
      <c r="M5" s="36" t="n">
        <f aca="false">IFERROR(IF(H5=G5,IF(I5&gt;=H5,100,0),(I5-G5)/(H5-G5)*100),0)</f>
        <v>46.1538461538462</v>
      </c>
      <c r="N5" s="37" t="str">
        <f aca="false">IF(M5="","",IF(M5&gt;=90,"🏆 Supercharged",IF(M5&gt;=70,"🟢 On Track",IF(M5&gt;=40,"🟡 At Risk","🔴 Off Track"))))</f>
        <v>🟡 At Risk</v>
      </c>
      <c r="O5" s="33" t="s">
        <v>121</v>
      </c>
      <c r="P5" s="33"/>
      <c r="Q5" s="38" t="str">
        <f aca="false">'⚙️ Config'!C5</f>
        <v>Q3 2026</v>
      </c>
      <c r="R5" s="21" t="s">
        <v>248</v>
      </c>
      <c r="S5" s="33" t="s">
        <v>129</v>
      </c>
      <c r="T5" s="21" t="s">
        <v>249</v>
      </c>
      <c r="U5" s="21" t="s">
        <v>250</v>
      </c>
      <c r="V5" s="1"/>
    </row>
    <row r="6" customFormat="false" ht="43.5" hidden="false" customHeight="true" outlineLevel="0" collapsed="false">
      <c r="A6" s="1"/>
      <c r="B6" s="32" t="n">
        <v>2</v>
      </c>
      <c r="C6" s="21"/>
      <c r="D6" s="21" t="s">
        <v>251</v>
      </c>
      <c r="E6" s="33" t="s">
        <v>247</v>
      </c>
      <c r="F6" s="33" t="s">
        <v>127</v>
      </c>
      <c r="G6" s="33" t="n">
        <v>0</v>
      </c>
      <c r="H6" s="33" t="n">
        <v>1</v>
      </c>
      <c r="I6" s="33" t="n">
        <v>0</v>
      </c>
      <c r="J6" s="34" t="n">
        <f aca="false">IFERROR(IF(H6=G6,IF(I6&gt;=H6,1,0),(I6-G6)/(H6-G6)),0)</f>
        <v>0</v>
      </c>
      <c r="K6" s="34" t="str">
        <f aca="false">IFERROR(AVERAGEIF(C5:C200,C6,J5:J200),"")</f>
        <v/>
      </c>
      <c r="L6" s="35" t="n">
        <v>100</v>
      </c>
      <c r="M6" s="36" t="n">
        <f aca="false">IFERROR(IF(H6=G6,IF(I6&gt;=H6,100,0),(I6-G6)/(H6-G6)*100),0)</f>
        <v>0</v>
      </c>
      <c r="N6" s="37" t="str">
        <f aca="false">IF(M6="","",IF(M6&gt;=90,"🏆 Supercharged",IF(M6&gt;=70,"🟢 On Track",IF(M6&gt;=40,"🟡 At Risk","🔴 Off Track"))))</f>
        <v>🔴 Off Track</v>
      </c>
      <c r="O6" s="33" t="s">
        <v>133</v>
      </c>
      <c r="P6" s="33"/>
      <c r="Q6" s="38" t="str">
        <f aca="false">'⚙️ Config'!C5</f>
        <v>Q3 2026</v>
      </c>
      <c r="R6" s="21" t="s">
        <v>252</v>
      </c>
      <c r="S6" s="33" t="s">
        <v>129</v>
      </c>
      <c r="T6" s="21" t="s">
        <v>141</v>
      </c>
      <c r="U6" s="21" t="s">
        <v>253</v>
      </c>
      <c r="V6" s="1"/>
    </row>
    <row r="7" customFormat="false" ht="43.5" hidden="false" customHeight="true" outlineLevel="0" collapsed="false">
      <c r="A7" s="1"/>
      <c r="B7" s="32" t="n">
        <v>3</v>
      </c>
      <c r="C7" s="21"/>
      <c r="D7" s="21" t="s">
        <v>254</v>
      </c>
      <c r="E7" s="33" t="s">
        <v>247</v>
      </c>
      <c r="F7" s="33" t="s">
        <v>120</v>
      </c>
      <c r="G7" s="33" t="n">
        <v>0</v>
      </c>
      <c r="H7" s="33" t="n">
        <v>100</v>
      </c>
      <c r="I7" s="33" t="n">
        <v>0</v>
      </c>
      <c r="J7" s="34" t="n">
        <f aca="false">IFERROR(IF(H7=G7,IF(I7&gt;=H7,1,0),(I7-G7)/(H7-G7)),0)</f>
        <v>0</v>
      </c>
      <c r="K7" s="34" t="str">
        <f aca="false">IFERROR(AVERAGEIF(C5:C200,C7,J5:J200),"")</f>
        <v/>
      </c>
      <c r="L7" s="35" t="n">
        <v>100</v>
      </c>
      <c r="M7" s="36" t="n">
        <f aca="false">IFERROR(IF(H7=G7,IF(I7&gt;=H7,100,0),(I7-G7)/(H7-G7)*100),0)</f>
        <v>0</v>
      </c>
      <c r="N7" s="37" t="str">
        <f aca="false">IF(M7="","",IF(M7&gt;=90,"🏆 Supercharged",IF(M7&gt;=70,"🟢 On Track",IF(M7&gt;=40,"🟡 At Risk","🔴 Off Track"))))</f>
        <v>🔴 Off Track</v>
      </c>
      <c r="O7" s="33" t="s">
        <v>133</v>
      </c>
      <c r="P7" s="33"/>
      <c r="Q7" s="38" t="str">
        <f aca="false">'⚙️ Config'!C5</f>
        <v>Q3 2026</v>
      </c>
      <c r="R7" s="21" t="s">
        <v>182</v>
      </c>
      <c r="S7" s="33" t="s">
        <v>123</v>
      </c>
      <c r="T7" s="21" t="s">
        <v>255</v>
      </c>
      <c r="U7" s="21" t="s">
        <v>256</v>
      </c>
      <c r="V7" s="1"/>
    </row>
    <row r="8" customFormat="false" ht="43.5" hidden="false" customHeight="true" outlineLevel="0" collapsed="false">
      <c r="A8" s="1"/>
      <c r="B8" s="32" t="n">
        <v>4</v>
      </c>
      <c r="C8" s="21"/>
      <c r="D8" s="21" t="s">
        <v>257</v>
      </c>
      <c r="E8" s="33" t="s">
        <v>247</v>
      </c>
      <c r="F8" s="33" t="s">
        <v>127</v>
      </c>
      <c r="G8" s="33" t="n">
        <v>0</v>
      </c>
      <c r="H8" s="33" t="n">
        <v>1</v>
      </c>
      <c r="I8" s="33" t="n">
        <v>0</v>
      </c>
      <c r="J8" s="34" t="n">
        <f aca="false">IFERROR(IF(H8=G8,IF(I8&gt;=H8,1,0),(I8-G8)/(H8-G8)),0)</f>
        <v>0</v>
      </c>
      <c r="K8" s="34" t="str">
        <f aca="false">IFERROR(AVERAGEIF(C5:C200,C8,J5:J200),"")</f>
        <v/>
      </c>
      <c r="L8" s="35" t="n">
        <v>100</v>
      </c>
      <c r="M8" s="36" t="n">
        <f aca="false">IFERROR(IF(H8=G8,IF(I8&gt;=H8,100,0),(I8-G8)/(H8-G8)*100),0)</f>
        <v>0</v>
      </c>
      <c r="N8" s="37" t="str">
        <f aca="false">IF(M8="","",IF(M8&gt;=90,"🏆 Supercharged",IF(M8&gt;=70,"🟢 On Track",IF(M8&gt;=40,"🟡 At Risk","🔴 Off Track"))))</f>
        <v>🔴 Off Track</v>
      </c>
      <c r="O8" s="33" t="s">
        <v>128</v>
      </c>
      <c r="P8" s="33"/>
      <c r="Q8" s="38" t="str">
        <f aca="false">'⚙️ Config'!C5</f>
        <v>Q3 2026</v>
      </c>
      <c r="R8" s="21" t="s">
        <v>196</v>
      </c>
      <c r="S8" s="33" t="s">
        <v>129</v>
      </c>
      <c r="T8" s="21" t="s">
        <v>258</v>
      </c>
      <c r="U8" s="21" t="s">
        <v>259</v>
      </c>
      <c r="V8" s="1"/>
    </row>
    <row r="9" customFormat="false" ht="43.5" hidden="false" customHeight="true" outlineLevel="0" collapsed="false">
      <c r="A9" s="1"/>
      <c r="B9" s="32" t="n">
        <v>5</v>
      </c>
      <c r="C9" s="19" t="s">
        <v>260</v>
      </c>
      <c r="D9" s="19" t="s">
        <v>261</v>
      </c>
      <c r="E9" s="39" t="s">
        <v>77</v>
      </c>
      <c r="F9" s="39" t="s">
        <v>127</v>
      </c>
      <c r="G9" s="39" t="n">
        <v>0</v>
      </c>
      <c r="H9" s="39" t="n">
        <v>4</v>
      </c>
      <c r="I9" s="39" t="n">
        <v>4</v>
      </c>
      <c r="J9" s="34" t="n">
        <f aca="false">IFERROR(IF(H9=G9,IF(I9&gt;=H9,1,0),(I9-G9)/(H9-G9)),0)</f>
        <v>1</v>
      </c>
      <c r="K9" s="34" t="n">
        <f aca="false">IFERROR(AVERAGEIF(C5:C200,C9,J5:J200),"")</f>
        <v>1</v>
      </c>
      <c r="L9" s="40" t="n">
        <v>100</v>
      </c>
      <c r="M9" s="36" t="n">
        <f aca="false">IFERROR(IF(H9=G9,IF(I9&gt;=H9,100,0),(I9-G9)/(H9-G9)*100),0)</f>
        <v>100</v>
      </c>
      <c r="N9" s="37" t="str">
        <f aca="false">IF(M9="","",IF(M9&gt;=90,"🏆 Supercharged",IF(M9&gt;=70,"🟢 On Track",IF(M9&gt;=40,"🟡 At Risk","🔴 Off Track"))))</f>
        <v>🏆 Supercharged</v>
      </c>
      <c r="O9" s="39" t="s">
        <v>121</v>
      </c>
      <c r="P9" s="39"/>
      <c r="Q9" s="38" t="str">
        <f aca="false">'⚙️ Config'!C5</f>
        <v>Q3 2026</v>
      </c>
      <c r="R9" s="19" t="s">
        <v>262</v>
      </c>
      <c r="S9" s="39" t="s">
        <v>129</v>
      </c>
      <c r="T9" s="19" t="s">
        <v>141</v>
      </c>
      <c r="U9" s="19" t="s">
        <v>263</v>
      </c>
      <c r="V9" s="1"/>
    </row>
    <row r="10" customFormat="false" ht="43.5" hidden="false" customHeight="true" outlineLevel="0" collapsed="false">
      <c r="A10" s="1"/>
      <c r="B10" s="32" t="n">
        <v>6</v>
      </c>
      <c r="C10" s="19"/>
      <c r="D10" s="19" t="s">
        <v>264</v>
      </c>
      <c r="E10" s="39" t="s">
        <v>77</v>
      </c>
      <c r="F10" s="39" t="s">
        <v>120</v>
      </c>
      <c r="G10" s="39" t="n">
        <v>0</v>
      </c>
      <c r="H10" s="39" t="n">
        <v>10</v>
      </c>
      <c r="I10" s="39" t="n">
        <v>2</v>
      </c>
      <c r="J10" s="34" t="n">
        <f aca="false">IFERROR(IF(H10=G10,IF(I10&gt;=H10,1,0),(I10-G10)/(H10-G10)),0)</f>
        <v>0.2</v>
      </c>
      <c r="K10" s="34" t="str">
        <f aca="false">IFERROR(AVERAGEIF(C5:C200,C10,J5:J200),"")</f>
        <v/>
      </c>
      <c r="L10" s="40" t="n">
        <v>100</v>
      </c>
      <c r="M10" s="36" t="n">
        <f aca="false">IFERROR(IF(H10=G10,IF(I10&gt;=H10,100,0),(I10-G10)/(H10-G10)*100),0)</f>
        <v>20</v>
      </c>
      <c r="N10" s="37" t="str">
        <f aca="false">IF(M10="","",IF(M10&gt;=90,"🏆 Supercharged",IF(M10&gt;=70,"🟢 On Track",IF(M10&gt;=40,"🟡 At Risk","🔴 Off Track"))))</f>
        <v>🔴 Off Track</v>
      </c>
      <c r="O10" s="39" t="s">
        <v>128</v>
      </c>
      <c r="P10" s="39"/>
      <c r="Q10" s="38" t="str">
        <f aca="false">'⚙️ Config'!C5</f>
        <v>Q3 2026</v>
      </c>
      <c r="R10" s="19" t="s">
        <v>265</v>
      </c>
      <c r="S10" s="39" t="s">
        <v>123</v>
      </c>
      <c r="T10" s="19" t="s">
        <v>266</v>
      </c>
      <c r="U10" s="19" t="s">
        <v>267</v>
      </c>
      <c r="V10" s="1"/>
    </row>
    <row r="11" customFormat="false" ht="43.5" hidden="false" customHeight="true" outlineLevel="0" collapsed="false">
      <c r="A11" s="1"/>
      <c r="B11" s="32" t="n">
        <v>7</v>
      </c>
      <c r="C11" s="19"/>
      <c r="D11" s="19" t="s">
        <v>268</v>
      </c>
      <c r="E11" s="39" t="s">
        <v>77</v>
      </c>
      <c r="F11" s="39" t="s">
        <v>127</v>
      </c>
      <c r="G11" s="39" t="n">
        <v>0</v>
      </c>
      <c r="H11" s="39" t="n">
        <v>1</v>
      </c>
      <c r="I11" s="39" t="n">
        <v>0</v>
      </c>
      <c r="J11" s="34" t="n">
        <f aca="false">IFERROR(IF(H11=G11,IF(I11&gt;=H11,1,0),(I11-G11)/(H11-G11)),0)</f>
        <v>0</v>
      </c>
      <c r="K11" s="34" t="str">
        <f aca="false">IFERROR(AVERAGEIF(C5:C200,C11,J5:J200),"")</f>
        <v/>
      </c>
      <c r="L11" s="40" t="n">
        <v>100</v>
      </c>
      <c r="M11" s="36" t="n">
        <f aca="false">IFERROR(IF(H11=G11,IF(I11&gt;=H11,100,0),(I11-G11)/(H11-G11)*100),0)</f>
        <v>0</v>
      </c>
      <c r="N11" s="37" t="str">
        <f aca="false">IF(M11="","",IF(M11&gt;=90,"🏆 Supercharged",IF(M11&gt;=70,"🟢 On Track",IF(M11&gt;=40,"🟡 At Risk","🔴 Off Track"))))</f>
        <v>🔴 Off Track</v>
      </c>
      <c r="O11" s="39" t="s">
        <v>121</v>
      </c>
      <c r="P11" s="39"/>
      <c r="Q11" s="38" t="str">
        <f aca="false">'⚙️ Config'!C5</f>
        <v>Q3 2026</v>
      </c>
      <c r="R11" s="19" t="s">
        <v>196</v>
      </c>
      <c r="S11" s="39" t="s">
        <v>129</v>
      </c>
      <c r="T11" s="19" t="s">
        <v>141</v>
      </c>
      <c r="U11" s="19" t="s">
        <v>269</v>
      </c>
      <c r="V11" s="1"/>
    </row>
    <row r="12" customFormat="false" ht="43.5" hidden="false" customHeight="true" outlineLevel="0" collapsed="false">
      <c r="A12" s="1"/>
      <c r="B12" s="32" t="n">
        <v>8</v>
      </c>
      <c r="C12" s="19"/>
      <c r="D12" s="19" t="s">
        <v>270</v>
      </c>
      <c r="E12" s="39" t="s">
        <v>77</v>
      </c>
      <c r="F12" s="39" t="s">
        <v>127</v>
      </c>
      <c r="G12" s="39" t="n">
        <v>0</v>
      </c>
      <c r="H12" s="39" t="n">
        <v>1</v>
      </c>
      <c r="I12" s="39" t="n">
        <v>0</v>
      </c>
      <c r="J12" s="34" t="n">
        <f aca="false">IFERROR(IF(H12=G12,IF(I12&gt;=H12,1,0),(I12-G12)/(H12-G12)),0)</f>
        <v>0</v>
      </c>
      <c r="K12" s="34" t="str">
        <f aca="false">IFERROR(AVERAGEIF(C5:C200,C12,J5:J200),"")</f>
        <v/>
      </c>
      <c r="L12" s="40" t="n">
        <v>100</v>
      </c>
      <c r="M12" s="36" t="n">
        <f aca="false">IFERROR(IF(H12=G12,IF(I12&gt;=H12,100,0),(I12-G12)/(H12-G12)*100),0)</f>
        <v>0</v>
      </c>
      <c r="N12" s="37" t="str">
        <f aca="false">IF(M12="","",IF(M12&gt;=90,"🏆 Supercharged",IF(M12&gt;=70,"🟢 On Track",IF(M12&gt;=40,"🟡 At Risk","🔴 Off Track"))))</f>
        <v>🔴 Off Track</v>
      </c>
      <c r="O12" s="39" t="s">
        <v>121</v>
      </c>
      <c r="P12" s="39"/>
      <c r="Q12" s="38" t="str">
        <f aca="false">'⚙️ Config'!C5</f>
        <v>Q3 2026</v>
      </c>
      <c r="R12" s="19" t="s">
        <v>271</v>
      </c>
      <c r="S12" s="39" t="s">
        <v>129</v>
      </c>
      <c r="T12" s="19" t="s">
        <v>141</v>
      </c>
      <c r="U12" s="19" t="s">
        <v>272</v>
      </c>
      <c r="V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27.75" hidden="false" customHeight="true" outlineLevel="0" collapsed="false">
      <c r="A14" s="1"/>
      <c r="B14" s="41" t="s">
        <v>158</v>
      </c>
      <c r="C14" s="41"/>
      <c r="D14" s="41"/>
      <c r="E14" s="41"/>
      <c r="F14" s="28" t="s">
        <v>159</v>
      </c>
      <c r="G14" s="42" t="n">
        <f aca="false">IFERROR(AVERAGE(J5:J12),"—")</f>
        <v>0.207692307692308</v>
      </c>
      <c r="H14" s="28" t="s">
        <v>160</v>
      </c>
      <c r="I14" s="43" t="n">
        <f aca="false">IFERROR(AVERAGE(M5:M12),"—")</f>
        <v>20.7692307692308</v>
      </c>
      <c r="J14" s="28" t="s">
        <v>161</v>
      </c>
      <c r="K14" s="44" t="n">
        <f aca="false">COUNTIF(J5:J12,"&gt;=0.7")</f>
        <v>1</v>
      </c>
      <c r="L14" s="28" t="s">
        <v>162</v>
      </c>
      <c r="M14" s="44" t="n">
        <f aca="false">COUNTIFS(J5:J12,"&gt;=0.4",J5:J12,"&lt;0.7")</f>
        <v>1</v>
      </c>
      <c r="N14" s="28" t="s">
        <v>163</v>
      </c>
      <c r="O14" s="44" t="n">
        <f aca="false">COUNTIF(J5:J12,"&lt;0.4")</f>
        <v>6</v>
      </c>
      <c r="P14" s="1"/>
      <c r="Q14" s="1"/>
      <c r="R14" s="1"/>
      <c r="S14" s="1"/>
      <c r="T14" s="1"/>
      <c r="U14" s="1"/>
      <c r="V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</sheetData>
  <mergeCells count="7">
    <mergeCell ref="B1:U1"/>
    <mergeCell ref="B2:U2"/>
    <mergeCell ref="B3:E3"/>
    <mergeCell ref="F3:K3"/>
    <mergeCell ref="L3:N3"/>
    <mergeCell ref="O3:U3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T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14" min="3" style="0" width="18"/>
    <col collapsed="false" customWidth="true" hidden="false" outlineLevel="0" max="15" min="15" style="0" width="3"/>
  </cols>
  <sheetData>
    <row r="1" customFormat="false" ht="43.5" hidden="false" customHeight="true" outlineLevel="0" collapsed="false">
      <c r="A1" s="1"/>
      <c r="B1" s="48" t="s">
        <v>273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1"/>
      <c r="B2" s="16" t="s">
        <v>274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21.75" hidden="false" customHeight="true" outlineLevel="0" collapsed="false">
      <c r="A4" s="1"/>
      <c r="B4" s="49" t="s">
        <v>275</v>
      </c>
      <c r="C4" s="49"/>
      <c r="D4" s="49"/>
      <c r="E4" s="50" t="s">
        <v>276</v>
      </c>
      <c r="F4" s="50"/>
      <c r="G4" s="50"/>
      <c r="H4" s="51" t="s">
        <v>277</v>
      </c>
      <c r="I4" s="51"/>
      <c r="J4" s="51"/>
      <c r="K4" s="52" t="s">
        <v>278</v>
      </c>
      <c r="L4" s="52"/>
      <c r="M4" s="52"/>
      <c r="N4" s="1"/>
      <c r="O4" s="1"/>
      <c r="P4" s="1"/>
      <c r="Q4" s="1"/>
      <c r="R4" s="1"/>
      <c r="S4" s="1"/>
      <c r="T4" s="1"/>
    </row>
    <row r="5" customFormat="false" ht="51.75" hidden="false" customHeight="true" outlineLevel="0" collapsed="false">
      <c r="A5" s="1"/>
      <c r="B5" s="53" t="n">
        <f aca="false">IFERROR(AVERAGE('🏢 L1 Company OKRs'!J5:J50),"—")</f>
        <v>0.275818181818182</v>
      </c>
      <c r="C5" s="53"/>
      <c r="D5" s="53"/>
      <c r="E5" s="54" t="n">
        <f aca="false">IFERROR(AVERAGE('🏬 L2 Dept OKRs'!J5:J60),"—")</f>
        <v>0.118181818181818</v>
      </c>
      <c r="F5" s="54"/>
      <c r="G5" s="54"/>
      <c r="H5" s="55" t="n">
        <f aca="false">IFERROR(AVERAGE('👥 L3 Team OKRs'!J5:J60),"—")</f>
        <v>0.272727272727273</v>
      </c>
      <c r="I5" s="55"/>
      <c r="J5" s="55"/>
      <c r="K5" s="56" t="n">
        <f aca="false">IFERROR(AVERAGE('👤 L4 Individual'!J5:J60),"—")</f>
        <v>0.207692307692308</v>
      </c>
      <c r="L5" s="56"/>
      <c r="M5" s="56"/>
      <c r="N5" s="1"/>
      <c r="O5" s="1"/>
      <c r="P5" s="1"/>
      <c r="Q5" s="1"/>
      <c r="R5" s="1"/>
      <c r="S5" s="1"/>
      <c r="T5" s="1"/>
    </row>
    <row r="6" customFormat="false" ht="24" hidden="false" customHeight="true" outlineLevel="0" collapsed="false">
      <c r="A6" s="1"/>
      <c r="B6" s="57" t="str">
        <f aca="false">IF(ISNUMBER(B5),IF(B5&gt;=0.7,"🟢 ON TRACK",IF(B5&gt;=0.4,"🟡 AT RISK","🔴 OFF TRACK")),"—")</f>
        <v>🔴 OFF TRACK</v>
      </c>
      <c r="C6" s="57"/>
      <c r="D6" s="57"/>
      <c r="E6" s="57" t="str">
        <f aca="false">IF(ISNUMBER(E5),IF(E5&gt;=0.7,"🟢 ON TRACK",IF(E5&gt;=0.4,"🟡 AT RISK","🔴 OFF TRACK")),"—")</f>
        <v>🔴 OFF TRACK</v>
      </c>
      <c r="F6" s="57"/>
      <c r="G6" s="57"/>
      <c r="H6" s="57" t="str">
        <f aca="false">IF(ISNUMBER(H5),IF(H5&gt;=0.7,"🟢 ON TRACK",IF(H5&gt;=0.4,"🟡 AT RISK","🔴 OFF TRACK")),"—")</f>
        <v>🔴 OFF TRACK</v>
      </c>
      <c r="I6" s="57"/>
      <c r="J6" s="57"/>
      <c r="K6" s="57" t="str">
        <f aca="false">IF(ISNUMBER(K5),IF(K5&gt;=0.7,"🟢 ON TRACK",IF(K5&gt;=0.4,"🟡 AT RISK","🔴 OFF TRACK")),"—")</f>
        <v>🔴 OFF TRACK</v>
      </c>
      <c r="L6" s="57"/>
      <c r="M6" s="57"/>
      <c r="N6" s="1"/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21.75" hidden="false" customHeight="true" outlineLevel="0" collapsed="false">
      <c r="A8" s="1"/>
      <c r="B8" s="58" t="s">
        <v>279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1"/>
      <c r="P8" s="1"/>
      <c r="Q8" s="1"/>
      <c r="R8" s="1"/>
      <c r="S8" s="1"/>
      <c r="T8" s="1"/>
    </row>
    <row r="9" customFormat="false" ht="30" hidden="false" customHeight="true" outlineLevel="0" collapsed="false">
      <c r="A9" s="1"/>
      <c r="B9" s="59" t="s">
        <v>280</v>
      </c>
      <c r="C9" s="59" t="s">
        <v>281</v>
      </c>
      <c r="D9" s="59" t="s">
        <v>282</v>
      </c>
      <c r="E9" s="59" t="s">
        <v>283</v>
      </c>
      <c r="F9" s="59" t="s">
        <v>284</v>
      </c>
      <c r="G9" s="59" t="s">
        <v>285</v>
      </c>
      <c r="H9" s="59" t="s">
        <v>286</v>
      </c>
      <c r="I9" s="59" t="s">
        <v>287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24" hidden="false" customHeight="true" outlineLevel="0" collapsed="false">
      <c r="A10" s="1"/>
      <c r="B10" s="60" t="s">
        <v>288</v>
      </c>
      <c r="C10" s="61" t="n">
        <f aca="false">COUNTA('🏢 L1 Company OKRs'!J5:J50)</f>
        <v>12</v>
      </c>
      <c r="D10" s="61" t="n">
        <f aca="false">COUNTIF('🏢 L1 Company OKRs'!J5:J50,"&gt;=0.9")</f>
        <v>3</v>
      </c>
      <c r="E10" s="61" t="n">
        <f aca="false">COUNTIFS('🏢 L1 Company OKRs'!J5:J50,"&gt;=0.7",'🏢 L1 Company OKRs'!J5:J50,"&lt;0.9")</f>
        <v>0</v>
      </c>
      <c r="F10" s="61" t="n">
        <f aca="false">COUNTIFS('🏢 L1 Company OKRs'!J5:J50,"&gt;=0.4",'🏢 L1 Company OKRs'!J5:J50,"&lt;0.7")</f>
        <v>0</v>
      </c>
      <c r="G10" s="61" t="n">
        <f aca="false">COUNTIF('🏢 L1 Company OKRs'!J5:J50,"&lt;0.4")</f>
        <v>8</v>
      </c>
      <c r="H10" s="62" t="n">
        <f aca="false">IFERROR(AVERAGE('🏢 L1 Company OKRs'!J5:J50),"—")</f>
        <v>0.275818181818182</v>
      </c>
      <c r="I10" s="61" t="s">
        <v>289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24" hidden="false" customHeight="true" outlineLevel="0" collapsed="false">
      <c r="A11" s="1"/>
      <c r="B11" s="63" t="s">
        <v>290</v>
      </c>
      <c r="C11" s="64" t="n">
        <f aca="false">COUNTA('🏬 L2 Dept OKRs'!J5:J60)</f>
        <v>12</v>
      </c>
      <c r="D11" s="64" t="n">
        <f aca="false">COUNTIF('🏬 L2 Dept OKRs'!J5:J60,"&gt;=0.9")</f>
        <v>0</v>
      </c>
      <c r="E11" s="64" t="n">
        <f aca="false">COUNTIFS('🏬 L2 Dept OKRs'!J5:J60,"&gt;=0.7",'🏬 L2 Dept OKRs'!J5:J60,"&lt;0.9")</f>
        <v>1</v>
      </c>
      <c r="F11" s="64" t="n">
        <f aca="false">COUNTIFS('🏬 L2 Dept OKRs'!J5:J60,"&gt;=0.4",'🏬 L2 Dept OKRs'!J5:J60,"&lt;0.7")</f>
        <v>1</v>
      </c>
      <c r="G11" s="64" t="n">
        <f aca="false">COUNTIF('🏬 L2 Dept OKRs'!J5:J60,"&lt;0.4")</f>
        <v>9</v>
      </c>
      <c r="H11" s="65" t="n">
        <f aca="false">IFERROR(AVERAGE('🏬 L2 Dept OKRs'!J5:J60),"—")</f>
        <v>0.118181818181818</v>
      </c>
      <c r="I11" s="64" t="s">
        <v>289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24" hidden="false" customHeight="true" outlineLevel="0" collapsed="false">
      <c r="A12" s="1"/>
      <c r="B12" s="60" t="s">
        <v>291</v>
      </c>
      <c r="C12" s="61" t="n">
        <f aca="false">COUNTA('👥 L3 Team OKRs'!J5:J60)</f>
        <v>12</v>
      </c>
      <c r="D12" s="61" t="n">
        <f aca="false">COUNTIF('👥 L3 Team OKRs'!J5:J60,"&gt;=0.9")</f>
        <v>3</v>
      </c>
      <c r="E12" s="61" t="n">
        <f aca="false">COUNTIFS('👥 L3 Team OKRs'!J5:J60,"&gt;=0.7",'👥 L3 Team OKRs'!J5:J60,"&lt;0.9")</f>
        <v>0</v>
      </c>
      <c r="F12" s="61" t="n">
        <f aca="false">COUNTIFS('👥 L3 Team OKRs'!J5:J60,"&gt;=0.4",'👥 L3 Team OKRs'!J5:J60,"&lt;0.7")</f>
        <v>0</v>
      </c>
      <c r="G12" s="61" t="n">
        <f aca="false">COUNTIF('👥 L3 Team OKRs'!J5:J60,"&lt;0.4")</f>
        <v>8</v>
      </c>
      <c r="H12" s="62" t="n">
        <f aca="false">IFERROR(AVERAGE('👥 L3 Team OKRs'!J5:J60),"—")</f>
        <v>0.272727272727273</v>
      </c>
      <c r="I12" s="61" t="s">
        <v>289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customFormat="false" ht="24" hidden="false" customHeight="true" outlineLevel="0" collapsed="false">
      <c r="A13" s="1"/>
      <c r="B13" s="63" t="s">
        <v>292</v>
      </c>
      <c r="C13" s="64" t="n">
        <f aca="false">COUNTA('👤 L4 Individual'!J5:J60)</f>
        <v>9</v>
      </c>
      <c r="D13" s="64" t="n">
        <f aca="false">COUNTIF('👤 L4 Individual'!J5:J60,"&gt;=0.9")</f>
        <v>1</v>
      </c>
      <c r="E13" s="64" t="n">
        <f aca="false">COUNTIFS('👤 L4 Individual'!J5:J60,"&gt;=0.7",'👤 L4 Individual'!J5:J60,"&lt;0.9")</f>
        <v>0</v>
      </c>
      <c r="F13" s="64" t="n">
        <f aca="false">COUNTIFS('👤 L4 Individual'!J5:J60,"&gt;=0.4",'👤 L4 Individual'!J5:J60,"&lt;0.7")</f>
        <v>1</v>
      </c>
      <c r="G13" s="64" t="n">
        <f aca="false">COUNTIF('👤 L4 Individual'!J5:J60,"&lt;0.4")</f>
        <v>6</v>
      </c>
      <c r="H13" s="65" t="n">
        <f aca="false">IFERROR(AVERAGE('👤 L4 Individual'!J5:J60),"—")</f>
        <v>0.207692307692308</v>
      </c>
      <c r="I13" s="64" t="s">
        <v>289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</sheetData>
  <mergeCells count="15">
    <mergeCell ref="B1:N1"/>
    <mergeCell ref="B2:N2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8: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P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9" min="5" style="0" width="12"/>
    <col collapsed="false" customWidth="true" hidden="false" outlineLevel="0" max="13" min="10" style="0" width="20"/>
    <col collapsed="false" customWidth="true" hidden="false" outlineLevel="0" max="14" min="14" style="0" width="3"/>
  </cols>
  <sheetData>
    <row r="1" customFormat="false" ht="37.5" hidden="false" customHeight="true" outlineLevel="0" collapsed="false">
      <c r="A1" s="1"/>
      <c r="B1" s="46" t="s">
        <v>293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1"/>
      <c r="O1" s="1"/>
      <c r="P1" s="1"/>
    </row>
    <row r="2" customFormat="false" ht="18" hidden="false" customHeight="true" outlineLevel="0" collapsed="false">
      <c r="A2" s="1"/>
      <c r="B2" s="16" t="s">
        <v>294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"/>
      <c r="O2" s="1"/>
      <c r="P2" s="1"/>
    </row>
    <row r="3" customFormat="false" ht="25.5" hidden="false" customHeight="true" outlineLevel="0" collapsed="false">
      <c r="A3" s="1"/>
      <c r="B3" s="28" t="s">
        <v>295</v>
      </c>
      <c r="C3" s="28" t="s">
        <v>296</v>
      </c>
      <c r="D3" s="28" t="s">
        <v>99</v>
      </c>
      <c r="E3" s="28" t="s">
        <v>100</v>
      </c>
      <c r="F3" s="28" t="s">
        <v>280</v>
      </c>
      <c r="G3" s="28" t="s">
        <v>297</v>
      </c>
      <c r="H3" s="28" t="s">
        <v>298</v>
      </c>
      <c r="I3" s="28" t="s">
        <v>299</v>
      </c>
      <c r="J3" s="28" t="s">
        <v>300</v>
      </c>
      <c r="K3" s="28" t="s">
        <v>301</v>
      </c>
      <c r="L3" s="28" t="s">
        <v>302</v>
      </c>
      <c r="M3" s="28" t="s">
        <v>303</v>
      </c>
      <c r="N3" s="28" t="s">
        <v>304</v>
      </c>
      <c r="O3" s="1"/>
      <c r="P3" s="1"/>
    </row>
    <row r="4" customFormat="false" ht="36" hidden="false" customHeight="true" outlineLevel="0" collapsed="false">
      <c r="A4" s="1"/>
      <c r="B4" s="39" t="n">
        <v>1</v>
      </c>
      <c r="C4" s="19"/>
      <c r="D4" s="19"/>
      <c r="E4" s="39"/>
      <c r="F4" s="39"/>
      <c r="G4" s="39"/>
      <c r="H4" s="61" t="n">
        <v>0</v>
      </c>
      <c r="I4" s="61"/>
      <c r="J4" s="39" t="str">
        <f aca="false">IF(H4="","",IF(H4&gt;G4,"⬆ Improving",IF(H4&lt;G4,"⬇ Declining","➡ Stable")))</f>
        <v>➡ Stable</v>
      </c>
      <c r="K4" s="19" t="s">
        <v>121</v>
      </c>
      <c r="L4" s="19"/>
      <c r="M4" s="19"/>
      <c r="N4" s="66"/>
      <c r="O4" s="1"/>
      <c r="P4" s="1"/>
    </row>
    <row r="5" customFormat="false" ht="36" hidden="false" customHeight="true" outlineLevel="0" collapsed="false">
      <c r="A5" s="1"/>
      <c r="B5" s="33" t="n">
        <v>2</v>
      </c>
      <c r="C5" s="21"/>
      <c r="D5" s="21"/>
      <c r="E5" s="33"/>
      <c r="F5" s="33"/>
      <c r="G5" s="33"/>
      <c r="H5" s="64" t="n">
        <v>0</v>
      </c>
      <c r="I5" s="64"/>
      <c r="J5" s="33" t="str">
        <f aca="false">IF(H5="","",IF(H5&gt;G5,"⬆ Improving",IF(H5&lt;G5,"⬇ Declining","➡ Stable")))</f>
        <v>➡ Stable</v>
      </c>
      <c r="K5" s="21" t="s">
        <v>121</v>
      </c>
      <c r="L5" s="21"/>
      <c r="M5" s="21"/>
      <c r="N5" s="67"/>
      <c r="O5" s="1"/>
      <c r="P5" s="1"/>
    </row>
    <row r="6" customFormat="false" ht="36" hidden="false" customHeight="true" outlineLevel="0" collapsed="false">
      <c r="A6" s="1"/>
      <c r="B6" s="39" t="n">
        <v>3</v>
      </c>
      <c r="C6" s="19"/>
      <c r="D6" s="19"/>
      <c r="E6" s="39"/>
      <c r="F6" s="39"/>
      <c r="G6" s="39"/>
      <c r="H6" s="61" t="n">
        <v>0</v>
      </c>
      <c r="I6" s="61"/>
      <c r="J6" s="39" t="str">
        <f aca="false">IF(H6="","",IF(H6&gt;G6,"⬆ Improving",IF(H6&lt;G6,"⬇ Declining","➡ Stable")))</f>
        <v>➡ Stable</v>
      </c>
      <c r="K6" s="19" t="s">
        <v>121</v>
      </c>
      <c r="L6" s="19"/>
      <c r="M6" s="19"/>
      <c r="N6" s="66"/>
      <c r="O6" s="1"/>
      <c r="P6" s="1"/>
    </row>
    <row r="7" customFormat="false" ht="36" hidden="false" customHeight="true" outlineLevel="0" collapsed="false">
      <c r="A7" s="1"/>
      <c r="B7" s="33" t="n">
        <v>4</v>
      </c>
      <c r="C7" s="21"/>
      <c r="D7" s="21"/>
      <c r="E7" s="33"/>
      <c r="F7" s="33"/>
      <c r="G7" s="33"/>
      <c r="H7" s="64" t="n">
        <v>0</v>
      </c>
      <c r="I7" s="64"/>
      <c r="J7" s="33" t="str">
        <f aca="false">IF(H7="","",IF(H7&gt;G7,"⬆ Improving",IF(H7&lt;G7,"⬇ Declining","➡ Stable")))</f>
        <v>➡ Stable</v>
      </c>
      <c r="K7" s="21" t="s">
        <v>121</v>
      </c>
      <c r="L7" s="21"/>
      <c r="M7" s="21"/>
      <c r="N7" s="67"/>
      <c r="O7" s="1"/>
      <c r="P7" s="1"/>
    </row>
    <row r="8" customFormat="false" ht="36" hidden="false" customHeight="true" outlineLevel="0" collapsed="false">
      <c r="A8" s="1"/>
      <c r="B8" s="39" t="n">
        <v>5</v>
      </c>
      <c r="C8" s="19"/>
      <c r="D8" s="19"/>
      <c r="E8" s="39"/>
      <c r="F8" s="39"/>
      <c r="G8" s="39"/>
      <c r="H8" s="61" t="n">
        <v>0</v>
      </c>
      <c r="I8" s="61"/>
      <c r="J8" s="39" t="str">
        <f aca="false">IF(H8="","",IF(H8&gt;G8,"⬆ Improving",IF(H8&lt;G8,"⬇ Declining","➡ Stable")))</f>
        <v>➡ Stable</v>
      </c>
      <c r="K8" s="19" t="s">
        <v>121</v>
      </c>
      <c r="L8" s="19"/>
      <c r="M8" s="19"/>
      <c r="N8" s="66"/>
      <c r="O8" s="1"/>
      <c r="P8" s="1"/>
    </row>
    <row r="9" customFormat="false" ht="36" hidden="false" customHeight="true" outlineLevel="0" collapsed="false">
      <c r="A9" s="1"/>
      <c r="B9" s="33" t="n">
        <v>6</v>
      </c>
      <c r="C9" s="21"/>
      <c r="D9" s="21"/>
      <c r="E9" s="33"/>
      <c r="F9" s="33"/>
      <c r="G9" s="33"/>
      <c r="H9" s="64" t="n">
        <v>0</v>
      </c>
      <c r="I9" s="64"/>
      <c r="J9" s="33" t="str">
        <f aca="false">IF(H9="","",IF(H9&gt;G9,"⬆ Improving",IF(H9&lt;G9,"⬇ Declining","➡ Stable")))</f>
        <v>➡ Stable</v>
      </c>
      <c r="K9" s="21" t="s">
        <v>121</v>
      </c>
      <c r="L9" s="21"/>
      <c r="M9" s="21"/>
      <c r="N9" s="67"/>
      <c r="O9" s="1"/>
      <c r="P9" s="1"/>
    </row>
    <row r="10" customFormat="false" ht="36" hidden="false" customHeight="true" outlineLevel="0" collapsed="false">
      <c r="A10" s="1"/>
      <c r="B10" s="39" t="n">
        <v>7</v>
      </c>
      <c r="C10" s="19"/>
      <c r="D10" s="19"/>
      <c r="E10" s="39"/>
      <c r="F10" s="39"/>
      <c r="G10" s="39"/>
      <c r="H10" s="61" t="n">
        <v>0</v>
      </c>
      <c r="I10" s="61"/>
      <c r="J10" s="39" t="str">
        <f aca="false">IF(H10="","",IF(H10&gt;G10,"⬆ Improving",IF(H10&lt;G10,"⬇ Declining","➡ Stable")))</f>
        <v>➡ Stable</v>
      </c>
      <c r="K10" s="19" t="s">
        <v>121</v>
      </c>
      <c r="L10" s="19"/>
      <c r="M10" s="19"/>
      <c r="N10" s="66"/>
      <c r="O10" s="1"/>
      <c r="P10" s="1"/>
    </row>
    <row r="11" customFormat="false" ht="36" hidden="false" customHeight="true" outlineLevel="0" collapsed="false">
      <c r="A11" s="1"/>
      <c r="B11" s="33" t="n">
        <v>8</v>
      </c>
      <c r="C11" s="21"/>
      <c r="D11" s="21"/>
      <c r="E11" s="33"/>
      <c r="F11" s="33"/>
      <c r="G11" s="33"/>
      <c r="H11" s="64" t="n">
        <v>0</v>
      </c>
      <c r="I11" s="64"/>
      <c r="J11" s="33" t="str">
        <f aca="false">IF(H11="","",IF(H11&gt;G11,"⬆ Improving",IF(H11&lt;G11,"⬇ Declining","➡ Stable")))</f>
        <v>➡ Stable</v>
      </c>
      <c r="K11" s="21" t="s">
        <v>121</v>
      </c>
      <c r="L11" s="21"/>
      <c r="M11" s="21"/>
      <c r="N11" s="67"/>
      <c r="O11" s="1"/>
      <c r="P11" s="1"/>
    </row>
    <row r="12" customFormat="false" ht="36" hidden="false" customHeight="true" outlineLevel="0" collapsed="false">
      <c r="A12" s="1"/>
      <c r="B12" s="39" t="n">
        <v>9</v>
      </c>
      <c r="C12" s="19"/>
      <c r="D12" s="19"/>
      <c r="E12" s="39"/>
      <c r="F12" s="39"/>
      <c r="G12" s="39"/>
      <c r="H12" s="61" t="n">
        <v>0</v>
      </c>
      <c r="I12" s="61"/>
      <c r="J12" s="39" t="str">
        <f aca="false">IF(H12="","",IF(H12&gt;G12,"⬆ Improving",IF(H12&lt;G12,"⬇ Declining","➡ Stable")))</f>
        <v>➡ Stable</v>
      </c>
      <c r="K12" s="19" t="s">
        <v>121</v>
      </c>
      <c r="L12" s="19"/>
      <c r="M12" s="19"/>
      <c r="N12" s="66"/>
      <c r="O12" s="1"/>
      <c r="P12" s="1"/>
    </row>
    <row r="13" customFormat="false" ht="36" hidden="false" customHeight="true" outlineLevel="0" collapsed="false">
      <c r="A13" s="1"/>
      <c r="B13" s="33" t="n">
        <v>10</v>
      </c>
      <c r="C13" s="21"/>
      <c r="D13" s="21"/>
      <c r="E13" s="33"/>
      <c r="F13" s="33"/>
      <c r="G13" s="33"/>
      <c r="H13" s="64" t="n">
        <v>0</v>
      </c>
      <c r="I13" s="64"/>
      <c r="J13" s="33" t="str">
        <f aca="false">IF(H13="","",IF(H13&gt;G13,"⬆ Improving",IF(H13&lt;G13,"⬇ Declining","➡ Stable")))</f>
        <v>➡ Stable</v>
      </c>
      <c r="K13" s="21" t="s">
        <v>121</v>
      </c>
      <c r="L13" s="21"/>
      <c r="M13" s="21"/>
      <c r="N13" s="67"/>
      <c r="O13" s="1"/>
      <c r="P13" s="1"/>
    </row>
    <row r="14" customFormat="false" ht="36" hidden="false" customHeight="true" outlineLevel="0" collapsed="false">
      <c r="A14" s="1"/>
      <c r="B14" s="39" t="n">
        <v>11</v>
      </c>
      <c r="C14" s="19"/>
      <c r="D14" s="19"/>
      <c r="E14" s="39"/>
      <c r="F14" s="39"/>
      <c r="G14" s="39"/>
      <c r="H14" s="61" t="n">
        <v>0</v>
      </c>
      <c r="I14" s="61"/>
      <c r="J14" s="39" t="str">
        <f aca="false">IF(H14="","",IF(H14&gt;G14,"⬆ Improving",IF(H14&lt;G14,"⬇ Declining","➡ Stable")))</f>
        <v>➡ Stable</v>
      </c>
      <c r="K14" s="19" t="s">
        <v>121</v>
      </c>
      <c r="L14" s="19"/>
      <c r="M14" s="19"/>
      <c r="N14" s="66"/>
      <c r="O14" s="1"/>
      <c r="P14" s="1"/>
    </row>
    <row r="15" customFormat="false" ht="36" hidden="false" customHeight="true" outlineLevel="0" collapsed="false">
      <c r="A15" s="1"/>
      <c r="B15" s="33" t="n">
        <v>12</v>
      </c>
      <c r="C15" s="21"/>
      <c r="D15" s="21"/>
      <c r="E15" s="33"/>
      <c r="F15" s="33"/>
      <c r="G15" s="33"/>
      <c r="H15" s="64" t="n">
        <v>0</v>
      </c>
      <c r="I15" s="64"/>
      <c r="J15" s="33" t="str">
        <f aca="false">IF(H15="","",IF(H15&gt;G15,"⬆ Improving",IF(H15&lt;G15,"⬇ Declining","➡ Stable")))</f>
        <v>➡ Stable</v>
      </c>
      <c r="K15" s="21" t="s">
        <v>121</v>
      </c>
      <c r="L15" s="21"/>
      <c r="M15" s="21"/>
      <c r="N15" s="67"/>
      <c r="O15" s="1"/>
      <c r="P15" s="1"/>
    </row>
    <row r="16" customFormat="false" ht="36" hidden="false" customHeight="true" outlineLevel="0" collapsed="false">
      <c r="A16" s="1"/>
      <c r="B16" s="39" t="n">
        <v>13</v>
      </c>
      <c r="C16" s="19"/>
      <c r="D16" s="19"/>
      <c r="E16" s="39"/>
      <c r="F16" s="39"/>
      <c r="G16" s="39"/>
      <c r="H16" s="61" t="n">
        <v>0</v>
      </c>
      <c r="I16" s="61"/>
      <c r="J16" s="39" t="str">
        <f aca="false">IF(H16="","",IF(H16&gt;G16,"⬆ Improving",IF(H16&lt;G16,"⬇ Declining","➡ Stable")))</f>
        <v>➡ Stable</v>
      </c>
      <c r="K16" s="19" t="s">
        <v>121</v>
      </c>
      <c r="L16" s="19"/>
      <c r="M16" s="19"/>
      <c r="N16" s="66"/>
      <c r="O16" s="1"/>
      <c r="P16" s="1"/>
    </row>
    <row r="17" customFormat="false" ht="36" hidden="false" customHeight="true" outlineLevel="0" collapsed="false">
      <c r="A17" s="1"/>
      <c r="B17" s="33" t="n">
        <v>14</v>
      </c>
      <c r="C17" s="21"/>
      <c r="D17" s="21"/>
      <c r="E17" s="33"/>
      <c r="F17" s="33"/>
      <c r="G17" s="33"/>
      <c r="H17" s="64" t="n">
        <v>0</v>
      </c>
      <c r="I17" s="64"/>
      <c r="J17" s="33" t="str">
        <f aca="false">IF(H17="","",IF(H17&gt;G17,"⬆ Improving",IF(H17&lt;G17,"⬇ Declining","➡ Stable")))</f>
        <v>➡ Stable</v>
      </c>
      <c r="K17" s="21" t="s">
        <v>121</v>
      </c>
      <c r="L17" s="21"/>
      <c r="M17" s="21"/>
      <c r="N17" s="67"/>
      <c r="O17" s="1"/>
      <c r="P17" s="1"/>
    </row>
    <row r="18" customFormat="false" ht="36" hidden="false" customHeight="true" outlineLevel="0" collapsed="false">
      <c r="A18" s="1"/>
      <c r="B18" s="39" t="n">
        <v>15</v>
      </c>
      <c r="C18" s="19"/>
      <c r="D18" s="19"/>
      <c r="E18" s="39"/>
      <c r="F18" s="39"/>
      <c r="G18" s="39"/>
      <c r="H18" s="61" t="n">
        <v>0</v>
      </c>
      <c r="I18" s="61"/>
      <c r="J18" s="39" t="str">
        <f aca="false">IF(H18="","",IF(H18&gt;G18,"⬆ Improving",IF(H18&lt;G18,"⬇ Declining","➡ Stable")))</f>
        <v>➡ Stable</v>
      </c>
      <c r="K18" s="19" t="s">
        <v>121</v>
      </c>
      <c r="L18" s="19"/>
      <c r="M18" s="19"/>
      <c r="N18" s="66"/>
      <c r="O18" s="1"/>
      <c r="P18" s="1"/>
    </row>
    <row r="19" customFormat="false" ht="36" hidden="false" customHeight="true" outlineLevel="0" collapsed="false">
      <c r="A19" s="1"/>
      <c r="B19" s="33" t="n">
        <v>16</v>
      </c>
      <c r="C19" s="21"/>
      <c r="D19" s="21"/>
      <c r="E19" s="33"/>
      <c r="F19" s="33"/>
      <c r="G19" s="33"/>
      <c r="H19" s="64" t="n">
        <v>0</v>
      </c>
      <c r="I19" s="64"/>
      <c r="J19" s="33" t="str">
        <f aca="false">IF(H19="","",IF(H19&gt;G19,"⬆ Improving",IF(H19&lt;G19,"⬇ Declining","➡ Stable")))</f>
        <v>➡ Stable</v>
      </c>
      <c r="K19" s="21" t="s">
        <v>121</v>
      </c>
      <c r="L19" s="21"/>
      <c r="M19" s="21"/>
      <c r="N19" s="67"/>
      <c r="O19" s="1"/>
      <c r="P19" s="1"/>
    </row>
    <row r="20" customFormat="false" ht="36" hidden="false" customHeight="true" outlineLevel="0" collapsed="false">
      <c r="A20" s="1"/>
      <c r="B20" s="39" t="n">
        <v>17</v>
      </c>
      <c r="C20" s="19"/>
      <c r="D20" s="19"/>
      <c r="E20" s="39"/>
      <c r="F20" s="39"/>
      <c r="G20" s="39"/>
      <c r="H20" s="61" t="n">
        <v>0</v>
      </c>
      <c r="I20" s="61"/>
      <c r="J20" s="39" t="str">
        <f aca="false">IF(H20="","",IF(H20&gt;G20,"⬆ Improving",IF(H20&lt;G20,"⬇ Declining","➡ Stable")))</f>
        <v>➡ Stable</v>
      </c>
      <c r="K20" s="19" t="s">
        <v>121</v>
      </c>
      <c r="L20" s="19"/>
      <c r="M20" s="19"/>
      <c r="N20" s="66"/>
      <c r="O20" s="1"/>
      <c r="P20" s="1"/>
    </row>
    <row r="21" customFormat="false" ht="36" hidden="false" customHeight="true" outlineLevel="0" collapsed="false">
      <c r="A21" s="1"/>
      <c r="B21" s="33" t="n">
        <v>18</v>
      </c>
      <c r="C21" s="21"/>
      <c r="D21" s="21"/>
      <c r="E21" s="33"/>
      <c r="F21" s="33"/>
      <c r="G21" s="33"/>
      <c r="H21" s="64" t="n">
        <v>0</v>
      </c>
      <c r="I21" s="64"/>
      <c r="J21" s="33" t="str">
        <f aca="false">IF(H21="","",IF(H21&gt;G21,"⬆ Improving",IF(H21&lt;G21,"⬇ Declining","➡ Stable")))</f>
        <v>➡ Stable</v>
      </c>
      <c r="K21" s="21" t="s">
        <v>121</v>
      </c>
      <c r="L21" s="21"/>
      <c r="M21" s="21"/>
      <c r="N21" s="67"/>
      <c r="O21" s="1"/>
      <c r="P21" s="1"/>
    </row>
    <row r="22" customFormat="false" ht="36" hidden="false" customHeight="true" outlineLevel="0" collapsed="false">
      <c r="A22" s="1"/>
      <c r="B22" s="39" t="n">
        <v>19</v>
      </c>
      <c r="C22" s="19"/>
      <c r="D22" s="19"/>
      <c r="E22" s="39"/>
      <c r="F22" s="39"/>
      <c r="G22" s="39"/>
      <c r="H22" s="61" t="n">
        <v>0</v>
      </c>
      <c r="I22" s="61"/>
      <c r="J22" s="39" t="str">
        <f aca="false">IF(H22="","",IF(H22&gt;G22,"⬆ Improving",IF(H22&lt;G22,"⬇ Declining","➡ Stable")))</f>
        <v>➡ Stable</v>
      </c>
      <c r="K22" s="19" t="s">
        <v>121</v>
      </c>
      <c r="L22" s="19"/>
      <c r="M22" s="19"/>
      <c r="N22" s="66"/>
      <c r="O22" s="1"/>
      <c r="P22" s="1"/>
    </row>
    <row r="23" customFormat="false" ht="36" hidden="false" customHeight="true" outlineLevel="0" collapsed="false">
      <c r="A23" s="1"/>
      <c r="B23" s="33" t="n">
        <v>20</v>
      </c>
      <c r="C23" s="21"/>
      <c r="D23" s="21"/>
      <c r="E23" s="33"/>
      <c r="F23" s="33"/>
      <c r="G23" s="33"/>
      <c r="H23" s="64" t="n">
        <v>0</v>
      </c>
      <c r="I23" s="64"/>
      <c r="J23" s="33" t="str">
        <f aca="false">IF(H23="","",IF(H23&gt;G23,"⬆ Improving",IF(H23&lt;G23,"⬇ Declining","➡ Stable")))</f>
        <v>➡ Stable</v>
      </c>
      <c r="K23" s="21" t="s">
        <v>121</v>
      </c>
      <c r="L23" s="21"/>
      <c r="M23" s="21"/>
      <c r="N23" s="67"/>
      <c r="O23" s="1"/>
      <c r="P23" s="1"/>
    </row>
    <row r="24" customFormat="false" ht="36" hidden="false" customHeight="true" outlineLevel="0" collapsed="false">
      <c r="A24" s="1"/>
      <c r="B24" s="39" t="n">
        <v>21</v>
      </c>
      <c r="C24" s="19"/>
      <c r="D24" s="19"/>
      <c r="E24" s="39"/>
      <c r="F24" s="39"/>
      <c r="G24" s="39"/>
      <c r="H24" s="61" t="n">
        <v>0</v>
      </c>
      <c r="I24" s="61"/>
      <c r="J24" s="39" t="str">
        <f aca="false">IF(H24="","",IF(H24&gt;G24,"⬆ Improving",IF(H24&lt;G24,"⬇ Declining","➡ Stable")))</f>
        <v>➡ Stable</v>
      </c>
      <c r="K24" s="19" t="s">
        <v>121</v>
      </c>
      <c r="L24" s="19"/>
      <c r="M24" s="19"/>
      <c r="N24" s="66"/>
      <c r="O24" s="1"/>
      <c r="P24" s="1"/>
    </row>
    <row r="25" customFormat="false" ht="36" hidden="false" customHeight="true" outlineLevel="0" collapsed="false">
      <c r="A25" s="1"/>
      <c r="B25" s="33" t="n">
        <v>22</v>
      </c>
      <c r="C25" s="21"/>
      <c r="D25" s="21"/>
      <c r="E25" s="33"/>
      <c r="F25" s="33"/>
      <c r="G25" s="33"/>
      <c r="H25" s="64" t="n">
        <v>0</v>
      </c>
      <c r="I25" s="64"/>
      <c r="J25" s="33" t="str">
        <f aca="false">IF(H25="","",IF(H25&gt;G25,"⬆ Improving",IF(H25&lt;G25,"⬇ Declining","➡ Stable")))</f>
        <v>➡ Stable</v>
      </c>
      <c r="K25" s="21" t="s">
        <v>121</v>
      </c>
      <c r="L25" s="21"/>
      <c r="M25" s="21"/>
      <c r="N25" s="67"/>
      <c r="O25" s="1"/>
      <c r="P25" s="1"/>
    </row>
    <row r="26" customFormat="false" ht="36" hidden="false" customHeight="true" outlineLevel="0" collapsed="false">
      <c r="A26" s="1"/>
      <c r="B26" s="39" t="n">
        <v>23</v>
      </c>
      <c r="C26" s="19"/>
      <c r="D26" s="19"/>
      <c r="E26" s="39"/>
      <c r="F26" s="39"/>
      <c r="G26" s="39"/>
      <c r="H26" s="61" t="n">
        <v>0</v>
      </c>
      <c r="I26" s="61"/>
      <c r="J26" s="39" t="str">
        <f aca="false">IF(H26="","",IF(H26&gt;G26,"⬆ Improving",IF(H26&lt;G26,"⬇ Declining","➡ Stable")))</f>
        <v>➡ Stable</v>
      </c>
      <c r="K26" s="19" t="s">
        <v>121</v>
      </c>
      <c r="L26" s="19"/>
      <c r="M26" s="19"/>
      <c r="N26" s="66"/>
      <c r="O26" s="1"/>
      <c r="P26" s="1"/>
    </row>
    <row r="27" customFormat="false" ht="36" hidden="false" customHeight="true" outlineLevel="0" collapsed="false">
      <c r="A27" s="1"/>
      <c r="B27" s="33" t="n">
        <v>24</v>
      </c>
      <c r="C27" s="21"/>
      <c r="D27" s="21"/>
      <c r="E27" s="33"/>
      <c r="F27" s="33"/>
      <c r="G27" s="33"/>
      <c r="H27" s="64" t="n">
        <v>0</v>
      </c>
      <c r="I27" s="64"/>
      <c r="J27" s="33" t="str">
        <f aca="false">IF(H27="","",IF(H27&gt;G27,"⬆ Improving",IF(H27&lt;G27,"⬇ Declining","➡ Stable")))</f>
        <v>➡ Stable</v>
      </c>
      <c r="K27" s="21" t="s">
        <v>121</v>
      </c>
      <c r="L27" s="21"/>
      <c r="M27" s="21"/>
      <c r="N27" s="67"/>
      <c r="O27" s="1"/>
      <c r="P27" s="1"/>
    </row>
    <row r="28" customFormat="false" ht="36" hidden="false" customHeight="true" outlineLevel="0" collapsed="false">
      <c r="A28" s="1"/>
      <c r="B28" s="39" t="n">
        <v>25</v>
      </c>
      <c r="C28" s="19"/>
      <c r="D28" s="19"/>
      <c r="E28" s="39"/>
      <c r="F28" s="39"/>
      <c r="G28" s="39"/>
      <c r="H28" s="61" t="n">
        <v>0</v>
      </c>
      <c r="I28" s="61"/>
      <c r="J28" s="39" t="str">
        <f aca="false">IF(H28="","",IF(H28&gt;G28,"⬆ Improving",IF(H28&lt;G28,"⬇ Declining","➡ Stable")))</f>
        <v>➡ Stable</v>
      </c>
      <c r="K28" s="19" t="s">
        <v>121</v>
      </c>
      <c r="L28" s="19"/>
      <c r="M28" s="19"/>
      <c r="N28" s="66"/>
      <c r="O28" s="1"/>
      <c r="P28" s="1"/>
    </row>
    <row r="29" customFormat="false" ht="36" hidden="false" customHeight="true" outlineLevel="0" collapsed="false">
      <c r="A29" s="1"/>
      <c r="B29" s="33" t="n">
        <v>26</v>
      </c>
      <c r="C29" s="21"/>
      <c r="D29" s="21"/>
      <c r="E29" s="33"/>
      <c r="F29" s="33"/>
      <c r="G29" s="33"/>
      <c r="H29" s="64" t="n">
        <v>0</v>
      </c>
      <c r="I29" s="64"/>
      <c r="J29" s="33" t="str">
        <f aca="false">IF(H29="","",IF(H29&gt;G29,"⬆ Improving",IF(H29&lt;G29,"⬇ Declining","➡ Stable")))</f>
        <v>➡ Stable</v>
      </c>
      <c r="K29" s="21" t="s">
        <v>121</v>
      </c>
      <c r="L29" s="21"/>
      <c r="M29" s="21"/>
      <c r="N29" s="67"/>
      <c r="O29" s="1"/>
      <c r="P29" s="1"/>
    </row>
    <row r="30" customFormat="false" ht="36" hidden="false" customHeight="true" outlineLevel="0" collapsed="false">
      <c r="A30" s="1"/>
      <c r="B30" s="39" t="n">
        <v>27</v>
      </c>
      <c r="C30" s="19"/>
      <c r="D30" s="19"/>
      <c r="E30" s="39"/>
      <c r="F30" s="39"/>
      <c r="G30" s="39"/>
      <c r="H30" s="61" t="n">
        <v>0</v>
      </c>
      <c r="I30" s="61"/>
      <c r="J30" s="39" t="str">
        <f aca="false">IF(H30="","",IF(H30&gt;G30,"⬆ Improving",IF(H30&lt;G30,"⬇ Declining","➡ Stable")))</f>
        <v>➡ Stable</v>
      </c>
      <c r="K30" s="19" t="s">
        <v>121</v>
      </c>
      <c r="L30" s="19"/>
      <c r="M30" s="19"/>
      <c r="N30" s="66"/>
      <c r="O30" s="1"/>
      <c r="P30" s="1"/>
    </row>
    <row r="31" customFormat="false" ht="36" hidden="false" customHeight="true" outlineLevel="0" collapsed="false">
      <c r="A31" s="1"/>
      <c r="B31" s="33" t="n">
        <v>28</v>
      </c>
      <c r="C31" s="21"/>
      <c r="D31" s="21"/>
      <c r="E31" s="33"/>
      <c r="F31" s="33"/>
      <c r="G31" s="33"/>
      <c r="H31" s="64" t="n">
        <v>0</v>
      </c>
      <c r="I31" s="64"/>
      <c r="J31" s="33" t="str">
        <f aca="false">IF(H31="","",IF(H31&gt;G31,"⬆ Improving",IF(H31&lt;G31,"⬇ Declining","➡ Stable")))</f>
        <v>➡ Stable</v>
      </c>
      <c r="K31" s="21" t="s">
        <v>121</v>
      </c>
      <c r="L31" s="21"/>
      <c r="M31" s="21"/>
      <c r="N31" s="67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</sheetData>
  <mergeCells count="2">
    <mergeCell ref="B1:M1"/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N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5" min="4" style="0" width="16"/>
    <col collapsed="false" customWidth="true" hidden="false" outlineLevel="0" max="11" min="6" style="0" width="14"/>
    <col collapsed="false" customWidth="true" hidden="false" outlineLevel="0" max="12" min="12" style="0" width="3"/>
  </cols>
  <sheetData>
    <row r="1" customFormat="false" ht="37.5" hidden="false" customHeight="true" outlineLevel="0" collapsed="false">
      <c r="A1" s="1"/>
      <c r="B1" s="68" t="s">
        <v>305</v>
      </c>
      <c r="C1" s="68"/>
      <c r="D1" s="68"/>
      <c r="E1" s="68"/>
      <c r="F1" s="68"/>
      <c r="G1" s="68"/>
      <c r="H1" s="68"/>
      <c r="I1" s="68"/>
      <c r="J1" s="68"/>
      <c r="K1" s="68"/>
      <c r="L1" s="1"/>
      <c r="M1" s="1"/>
      <c r="N1" s="1"/>
    </row>
    <row r="2" customFormat="false" ht="18" hidden="false" customHeight="true" outlineLevel="0" collapsed="false">
      <c r="A2" s="1"/>
      <c r="B2" s="16" t="s">
        <v>306</v>
      </c>
      <c r="C2" s="16"/>
      <c r="D2" s="16"/>
      <c r="E2" s="16"/>
      <c r="F2" s="16"/>
      <c r="G2" s="16"/>
      <c r="H2" s="16"/>
      <c r="I2" s="16"/>
      <c r="J2" s="16"/>
      <c r="K2" s="16"/>
      <c r="L2" s="1"/>
      <c r="M2" s="1"/>
      <c r="N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24" hidden="false" customHeight="true" outlineLevel="0" collapsed="false">
      <c r="A4" s="1"/>
      <c r="B4" s="69" t="s">
        <v>307</v>
      </c>
      <c r="C4" s="69"/>
      <c r="D4" s="69"/>
      <c r="E4" s="69"/>
      <c r="F4" s="69"/>
      <c r="G4" s="69"/>
      <c r="H4" s="69"/>
      <c r="I4" s="69"/>
      <c r="J4" s="69"/>
      <c r="K4" s="69"/>
      <c r="L4" s="1"/>
      <c r="M4" s="1"/>
      <c r="N4" s="1"/>
    </row>
    <row r="5" customFormat="false" ht="24" hidden="false" customHeight="true" outlineLevel="0" collapsed="false">
      <c r="A5" s="1"/>
      <c r="B5" s="70" t="s">
        <v>308</v>
      </c>
      <c r="C5" s="70"/>
      <c r="D5" s="70"/>
      <c r="E5" s="70"/>
      <c r="F5" s="70"/>
      <c r="G5" s="70"/>
      <c r="H5" s="70"/>
      <c r="I5" s="70"/>
      <c r="J5" s="70"/>
      <c r="K5" s="70"/>
      <c r="L5" s="1"/>
      <c r="M5" s="1"/>
      <c r="N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25.5" hidden="false" customHeight="true" outlineLevel="0" collapsed="false">
      <c r="A7" s="1"/>
      <c r="B7" s="28" t="s">
        <v>99</v>
      </c>
      <c r="C7" s="28" t="s">
        <v>100</v>
      </c>
      <c r="D7" s="28" t="s">
        <v>309</v>
      </c>
      <c r="E7" s="28" t="s">
        <v>297</v>
      </c>
      <c r="F7" s="28" t="s">
        <v>310</v>
      </c>
      <c r="G7" s="28" t="s">
        <v>105</v>
      </c>
      <c r="H7" s="28" t="s">
        <v>311</v>
      </c>
      <c r="I7" s="28" t="s">
        <v>312</v>
      </c>
      <c r="J7" s="28" t="s">
        <v>313</v>
      </c>
      <c r="K7" s="28" t="s">
        <v>314</v>
      </c>
      <c r="L7" s="1"/>
      <c r="M7" s="1"/>
      <c r="N7" s="1"/>
    </row>
    <row r="8" customFormat="false" ht="36" hidden="false" customHeight="true" outlineLevel="0" collapsed="false">
      <c r="A8" s="1"/>
      <c r="B8" s="19" t="s">
        <v>315</v>
      </c>
      <c r="C8" s="19" t="s">
        <v>119</v>
      </c>
      <c r="D8" s="19" t="s">
        <v>120</v>
      </c>
      <c r="E8" s="71" t="s">
        <v>73</v>
      </c>
      <c r="F8" s="72" t="n">
        <v>10000</v>
      </c>
      <c r="G8" s="73" t="n">
        <v>340</v>
      </c>
      <c r="H8" s="74" t="n">
        <f aca="false">IFERROR(F8/E8,0)</f>
        <v>0</v>
      </c>
      <c r="I8" s="37" t="str">
        <f aca="false">IF(C8="Aspirational",IF(H8&gt;=0.9,"⚠️ Too Easy?",IF(H8&gt;=0.7,"🟢 Perfect Stretch",IF(H8&gt;=0.4,"🟡 Pushing",IF(H8&gt;0,"🔴 Far Off","—")))),IF(H8&gt;=1,"✅ Committed Hit",IF(H8&gt;=0.7,"🟡 Committed Risk","🔴 COMMITTED MISS")))</f>
        <v>🔴 COMMITTED MISS</v>
      </c>
      <c r="J8" s="75" t="s">
        <v>316</v>
      </c>
      <c r="K8" s="76" t="n">
        <f aca="false">IF(C8="Aspirational",IF(H8&lt;0.7,0.7-H8,0),IF(H8&lt;1,1-H8,0))</f>
        <v>1</v>
      </c>
      <c r="L8" s="1"/>
      <c r="M8" s="1"/>
      <c r="N8" s="1"/>
    </row>
    <row r="9" customFormat="false" ht="36" hidden="false" customHeight="true" outlineLevel="0" collapsed="false">
      <c r="A9" s="1"/>
      <c r="B9" s="21" t="s">
        <v>172</v>
      </c>
      <c r="C9" s="21" t="s">
        <v>317</v>
      </c>
      <c r="D9" s="21" t="s">
        <v>127</v>
      </c>
      <c r="E9" s="77" t="s">
        <v>77</v>
      </c>
      <c r="F9" s="78" t="n">
        <v>1</v>
      </c>
      <c r="G9" s="79" t="n">
        <v>1</v>
      </c>
      <c r="H9" s="74" t="n">
        <f aca="false">IFERROR(F9/E9,0)</f>
        <v>0</v>
      </c>
      <c r="I9" s="37" t="str">
        <f aca="false">IF(C9="Aspirational",IF(H9&gt;=0.9,"⚠️ Too Easy?",IF(H9&gt;=0.7,"🟢 Perfect Stretch",IF(H9&gt;=0.4,"🟡 Pushing",IF(H9&gt;0,"🔴 Far Off","—")))),IF(H9&gt;=1,"✅ Committed Hit",IF(H9&gt;=0.7,"🟡 Committed Risk","🔴 COMMITTED MISS")))</f>
        <v>🔴 COMMITTED MISS</v>
      </c>
      <c r="J9" s="80" t="s">
        <v>318</v>
      </c>
      <c r="K9" s="76" t="n">
        <f aca="false">IF(C9="Aspirational",IF(H9&lt;0.7,0.7-H9,0),IF(H9&lt;1,1-H9,0))</f>
        <v>1</v>
      </c>
      <c r="L9" s="1"/>
      <c r="M9" s="1"/>
      <c r="N9" s="1"/>
    </row>
    <row r="10" customFormat="false" ht="36" hidden="false" customHeight="true" outlineLevel="0" collapsed="false">
      <c r="A10" s="1"/>
      <c r="B10" s="19" t="s">
        <v>172</v>
      </c>
      <c r="C10" s="19" t="s">
        <v>319</v>
      </c>
      <c r="D10" s="19" t="s">
        <v>127</v>
      </c>
      <c r="E10" s="71" t="s">
        <v>77</v>
      </c>
      <c r="F10" s="72" t="n">
        <v>1</v>
      </c>
      <c r="G10" s="73" t="n">
        <v>1</v>
      </c>
      <c r="H10" s="74" t="n">
        <f aca="false">IFERROR(F10/E10,0)</f>
        <v>0</v>
      </c>
      <c r="I10" s="37" t="str">
        <f aca="false">IF(C10="Aspirational",IF(H10&gt;=0.9,"⚠️ Too Easy?",IF(H10&gt;=0.7,"🟢 Perfect Stretch",IF(H10&gt;=0.4,"🟡 Pushing",IF(H10&gt;0,"🔴 Far Off","—")))),IF(H10&gt;=1,"✅ Committed Hit",IF(H10&gt;=0.7,"🟡 Committed Risk","🔴 COMMITTED MISS")))</f>
        <v>🔴 COMMITTED MISS</v>
      </c>
      <c r="J10" s="75" t="s">
        <v>318</v>
      </c>
      <c r="K10" s="76" t="n">
        <f aca="false">IF(C10="Aspirational",IF(H10&lt;0.7,0.7-H10,0),IF(H10&lt;1,1-H10,0))</f>
        <v>1</v>
      </c>
      <c r="L10" s="1"/>
      <c r="M10" s="1"/>
      <c r="N10" s="1"/>
    </row>
    <row r="11" customFormat="false" ht="36" hidden="false" customHeight="true" outlineLevel="0" collapsed="false">
      <c r="A11" s="1"/>
      <c r="B11" s="21" t="s">
        <v>196</v>
      </c>
      <c r="C11" s="21" t="s">
        <v>320</v>
      </c>
      <c r="D11" s="21" t="s">
        <v>120</v>
      </c>
      <c r="E11" s="77" t="s">
        <v>83</v>
      </c>
      <c r="F11" s="78" t="n">
        <v>5000000</v>
      </c>
      <c r="G11" s="79" t="n">
        <v>0</v>
      </c>
      <c r="H11" s="74" t="n">
        <f aca="false">IFERROR(F11/E11,0)</f>
        <v>0</v>
      </c>
      <c r="I11" s="37" t="str">
        <f aca="false">IF(C11="Aspirational",IF(H11&gt;=0.9,"⚠️ Too Easy?",IF(H11&gt;=0.7,"🟢 Perfect Stretch",IF(H11&gt;=0.4,"🟡 Pushing",IF(H11&gt;0,"🔴 Far Off","—")))),IF(H11&gt;=1,"✅ Committed Hit",IF(H11&gt;=0.7,"🟡 Committed Risk","🔴 COMMITTED MISS")))</f>
        <v>🔴 COMMITTED MISS</v>
      </c>
      <c r="J11" s="80" t="s">
        <v>316</v>
      </c>
      <c r="K11" s="76" t="n">
        <f aca="false">IF(C11="Aspirational",IF(H11&lt;0.7,0.7-H11,0),IF(H11&lt;1,1-H11,0))</f>
        <v>1</v>
      </c>
      <c r="L11" s="1"/>
      <c r="M11" s="1"/>
      <c r="N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4">
    <mergeCell ref="B1:K1"/>
    <mergeCell ref="B2:K2"/>
    <mergeCell ref="B4:K4"/>
    <mergeCell ref="B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B4FC"/>
    <pageSetUpPr fitToPage="false"/>
  </sheetPr>
  <dimension ref="A1:L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50"/>
    <col collapsed="false" customWidth="true" hidden="false" outlineLevel="0" max="8" min="8" style="0" width="3"/>
  </cols>
  <sheetData>
    <row r="1" customFormat="false" ht="37.5" hidden="false" customHeight="true" outlineLevel="0" collapsed="false">
      <c r="A1" s="1"/>
      <c r="B1" s="22" t="s">
        <v>321</v>
      </c>
      <c r="C1" s="22"/>
      <c r="D1" s="22"/>
      <c r="E1" s="22"/>
      <c r="F1" s="22"/>
      <c r="G1" s="22"/>
      <c r="H1" s="1"/>
      <c r="I1" s="1"/>
      <c r="J1" s="1"/>
      <c r="K1" s="1"/>
      <c r="L1" s="1"/>
    </row>
    <row r="2" customFormat="false" ht="25.5" hidden="false" customHeight="true" outlineLevel="0" collapsed="false">
      <c r="A2" s="1"/>
      <c r="B2" s="17" t="s">
        <v>322</v>
      </c>
      <c r="C2" s="17"/>
      <c r="D2" s="17"/>
      <c r="E2" s="17"/>
      <c r="F2" s="17"/>
      <c r="G2" s="17"/>
      <c r="H2" s="1"/>
      <c r="I2" s="1"/>
      <c r="J2" s="1"/>
      <c r="K2" s="1"/>
      <c r="L2" s="1"/>
    </row>
    <row r="3" customFormat="false" ht="25.5" hidden="false" customHeight="true" outlineLevel="0" collapsed="false">
      <c r="A3" s="1"/>
      <c r="B3" s="81" t="s">
        <v>311</v>
      </c>
      <c r="C3" s="63" t="s">
        <v>323</v>
      </c>
      <c r="D3" s="20" t="s">
        <v>324</v>
      </c>
      <c r="E3" s="20" t="s">
        <v>325</v>
      </c>
      <c r="F3" s="20" t="s">
        <v>326</v>
      </c>
      <c r="G3" s="20"/>
      <c r="H3" s="1"/>
      <c r="I3" s="1"/>
      <c r="J3" s="1"/>
      <c r="K3" s="1"/>
      <c r="L3" s="1"/>
    </row>
    <row r="4" customFormat="false" ht="25.5" hidden="false" customHeight="true" outlineLevel="0" collapsed="false">
      <c r="A4" s="1"/>
      <c r="B4" s="82" t="s">
        <v>327</v>
      </c>
      <c r="C4" s="60" t="s">
        <v>64</v>
      </c>
      <c r="D4" s="18" t="s">
        <v>328</v>
      </c>
      <c r="E4" s="18" t="s">
        <v>329</v>
      </c>
      <c r="F4" s="18" t="s">
        <v>330</v>
      </c>
      <c r="G4" s="18"/>
      <c r="H4" s="1"/>
      <c r="I4" s="1"/>
      <c r="J4" s="1"/>
      <c r="K4" s="1"/>
      <c r="L4" s="1"/>
    </row>
    <row r="5" customFormat="false" ht="25.5" hidden="false" customHeight="true" outlineLevel="0" collapsed="false">
      <c r="A5" s="1"/>
      <c r="B5" s="81" t="s">
        <v>331</v>
      </c>
      <c r="C5" s="63" t="s">
        <v>66</v>
      </c>
      <c r="D5" s="20" t="s">
        <v>332</v>
      </c>
      <c r="E5" s="20" t="s">
        <v>333</v>
      </c>
      <c r="F5" s="20" t="s">
        <v>334</v>
      </c>
      <c r="G5" s="20"/>
      <c r="H5" s="1"/>
      <c r="I5" s="1"/>
      <c r="J5" s="1"/>
      <c r="K5" s="1"/>
      <c r="L5" s="1"/>
    </row>
    <row r="6" customFormat="false" ht="25.5" hidden="false" customHeight="true" outlineLevel="0" collapsed="false">
      <c r="A6" s="1"/>
      <c r="B6" s="82" t="s">
        <v>335</v>
      </c>
      <c r="C6" s="60" t="s">
        <v>68</v>
      </c>
      <c r="D6" s="18" t="s">
        <v>336</v>
      </c>
      <c r="E6" s="18" t="s">
        <v>337</v>
      </c>
      <c r="F6" s="18" t="s">
        <v>338</v>
      </c>
      <c r="G6" s="18"/>
      <c r="H6" s="1"/>
      <c r="I6" s="1"/>
      <c r="J6" s="1"/>
      <c r="K6" s="1"/>
      <c r="L6" s="1"/>
    </row>
    <row r="7" customFormat="false" ht="25.5" hidden="false" customHeight="true" outlineLevel="0" collapsed="false">
      <c r="A7" s="1"/>
      <c r="B7" s="81" t="s">
        <v>339</v>
      </c>
      <c r="C7" s="63" t="s">
        <v>70</v>
      </c>
      <c r="D7" s="20" t="s">
        <v>340</v>
      </c>
      <c r="E7" s="20" t="s">
        <v>341</v>
      </c>
      <c r="F7" s="20" t="s">
        <v>342</v>
      </c>
      <c r="G7" s="20"/>
      <c r="H7" s="1"/>
      <c r="I7" s="1"/>
      <c r="J7" s="1"/>
      <c r="K7" s="1"/>
      <c r="L7" s="1"/>
    </row>
    <row r="8" customFormat="false" ht="25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25.5" hidden="false" customHeight="true" outlineLevel="0" collapsed="false">
      <c r="A9" s="1"/>
      <c r="B9" s="17" t="s">
        <v>343</v>
      </c>
      <c r="C9" s="17"/>
      <c r="D9" s="17"/>
      <c r="E9" s="17"/>
      <c r="F9" s="17"/>
      <c r="G9" s="17"/>
      <c r="H9" s="1"/>
      <c r="I9" s="1"/>
      <c r="J9" s="1"/>
      <c r="K9" s="1"/>
      <c r="L9" s="1"/>
    </row>
    <row r="10" customFormat="false" ht="25.5" hidden="false" customHeight="true" outlineLevel="0" collapsed="false">
      <c r="A10" s="1"/>
      <c r="B10" s="82" t="s">
        <v>344</v>
      </c>
      <c r="C10" s="60"/>
      <c r="D10" s="18"/>
      <c r="E10" s="18"/>
      <c r="F10" s="18"/>
      <c r="G10" s="18" t="s">
        <v>345</v>
      </c>
      <c r="H10" s="1"/>
      <c r="I10" s="1"/>
      <c r="J10" s="1"/>
      <c r="K10" s="1"/>
      <c r="L10" s="1"/>
    </row>
    <row r="11" customFormat="false" ht="25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5.5" hidden="false" customHeight="true" outlineLevel="0" collapsed="false">
      <c r="A12" s="1"/>
      <c r="B12" s="17" t="s">
        <v>346</v>
      </c>
      <c r="C12" s="17"/>
      <c r="D12" s="17"/>
      <c r="E12" s="17"/>
      <c r="F12" s="17"/>
      <c r="G12" s="17"/>
      <c r="H12" s="1"/>
      <c r="I12" s="1"/>
      <c r="J12" s="1"/>
      <c r="K12" s="1"/>
      <c r="L12" s="1"/>
    </row>
    <row r="13" customFormat="false" ht="25.5" hidden="false" customHeight="true" outlineLevel="0" collapsed="false">
      <c r="A13" s="1"/>
      <c r="B13" s="81" t="s">
        <v>311</v>
      </c>
      <c r="C13" s="63" t="s">
        <v>323</v>
      </c>
      <c r="D13" s="20" t="s">
        <v>324</v>
      </c>
      <c r="E13" s="20" t="s">
        <v>347</v>
      </c>
      <c r="F13" s="20"/>
      <c r="G13" s="20"/>
      <c r="H13" s="1"/>
      <c r="I13" s="1"/>
      <c r="J13" s="1"/>
      <c r="K13" s="1"/>
      <c r="L13" s="1"/>
    </row>
    <row r="14" customFormat="false" ht="25.5" hidden="false" customHeight="true" outlineLevel="0" collapsed="false">
      <c r="A14" s="1"/>
      <c r="B14" s="82" t="s">
        <v>348</v>
      </c>
      <c r="C14" s="60" t="s">
        <v>64</v>
      </c>
      <c r="D14" s="18" t="s">
        <v>349</v>
      </c>
      <c r="E14" s="18" t="s">
        <v>350</v>
      </c>
      <c r="F14" s="18"/>
      <c r="G14" s="18"/>
      <c r="H14" s="1"/>
      <c r="I14" s="1"/>
      <c r="J14" s="1"/>
      <c r="K14" s="1"/>
      <c r="L14" s="1"/>
    </row>
    <row r="15" customFormat="false" ht="25.5" hidden="false" customHeight="true" outlineLevel="0" collapsed="false">
      <c r="A15" s="1"/>
      <c r="B15" s="81" t="s">
        <v>351</v>
      </c>
      <c r="C15" s="63" t="s">
        <v>66</v>
      </c>
      <c r="D15" s="20" t="s">
        <v>352</v>
      </c>
      <c r="E15" s="20" t="s">
        <v>353</v>
      </c>
      <c r="F15" s="20"/>
      <c r="G15" s="20"/>
      <c r="H15" s="1"/>
      <c r="I15" s="1"/>
      <c r="J15" s="1"/>
      <c r="K15" s="1"/>
      <c r="L15" s="1"/>
    </row>
    <row r="16" customFormat="false" ht="25.5" hidden="false" customHeight="true" outlineLevel="0" collapsed="false">
      <c r="A16" s="1"/>
      <c r="B16" s="82" t="s">
        <v>354</v>
      </c>
      <c r="C16" s="60" t="s">
        <v>68</v>
      </c>
      <c r="D16" s="18" t="s">
        <v>355</v>
      </c>
      <c r="E16" s="18" t="s">
        <v>356</v>
      </c>
      <c r="F16" s="18"/>
      <c r="G16" s="18"/>
      <c r="H16" s="1"/>
      <c r="I16" s="1"/>
      <c r="J16" s="1"/>
      <c r="K16" s="1"/>
      <c r="L16" s="1"/>
    </row>
    <row r="17" customFormat="false" ht="25.5" hidden="false" customHeight="true" outlineLevel="0" collapsed="false">
      <c r="A17" s="1"/>
      <c r="B17" s="81" t="s">
        <v>357</v>
      </c>
      <c r="C17" s="63" t="s">
        <v>70</v>
      </c>
      <c r="D17" s="20" t="s">
        <v>358</v>
      </c>
      <c r="E17" s="20" t="s">
        <v>359</v>
      </c>
      <c r="F17" s="20"/>
      <c r="G17" s="20"/>
      <c r="H17" s="1"/>
      <c r="I17" s="1"/>
      <c r="J17" s="1"/>
      <c r="K17" s="1"/>
      <c r="L17" s="1"/>
    </row>
    <row r="18" customFormat="false" ht="25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5.5" hidden="false" customHeight="true" outlineLevel="0" collapsed="false">
      <c r="A19" s="1"/>
      <c r="B19" s="17" t="s">
        <v>360</v>
      </c>
      <c r="C19" s="17"/>
      <c r="D19" s="17"/>
      <c r="E19" s="17"/>
      <c r="F19" s="17"/>
      <c r="G19" s="17"/>
      <c r="H19" s="1"/>
      <c r="I19" s="1"/>
      <c r="J19" s="1"/>
      <c r="K19" s="1"/>
      <c r="L19" s="1"/>
    </row>
    <row r="20" customFormat="false" ht="25.5" hidden="false" customHeight="true" outlineLevel="0" collapsed="false">
      <c r="A20" s="1"/>
      <c r="B20" s="82" t="s">
        <v>120</v>
      </c>
      <c r="C20" s="60" t="s">
        <v>361</v>
      </c>
      <c r="D20" s="18" t="s">
        <v>362</v>
      </c>
      <c r="E20" s="18" t="s">
        <v>363</v>
      </c>
      <c r="F20" s="18" t="s">
        <v>364</v>
      </c>
      <c r="G20" s="18"/>
      <c r="H20" s="1"/>
      <c r="I20" s="1"/>
      <c r="J20" s="1"/>
      <c r="K20" s="1"/>
      <c r="L20" s="1"/>
    </row>
    <row r="21" customFormat="false" ht="25.5" hidden="false" customHeight="true" outlineLevel="0" collapsed="false">
      <c r="A21" s="1"/>
      <c r="B21" s="81" t="s">
        <v>127</v>
      </c>
      <c r="C21" s="63" t="s">
        <v>365</v>
      </c>
      <c r="D21" s="20" t="s">
        <v>366</v>
      </c>
      <c r="E21" s="20" t="s">
        <v>367</v>
      </c>
      <c r="F21" s="20" t="s">
        <v>368</v>
      </c>
      <c r="G21" s="20"/>
      <c r="H21" s="1"/>
      <c r="I21" s="1"/>
      <c r="J21" s="1"/>
      <c r="K21" s="1"/>
      <c r="L21" s="1"/>
    </row>
    <row r="22" customFormat="false" ht="25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25.5" hidden="false" customHeight="true" outlineLevel="0" collapsed="false">
      <c r="A23" s="1"/>
      <c r="B23" s="17" t="s">
        <v>369</v>
      </c>
      <c r="C23" s="17"/>
      <c r="D23" s="17"/>
      <c r="E23" s="17"/>
      <c r="F23" s="17"/>
      <c r="G23" s="17"/>
      <c r="H23" s="1"/>
      <c r="I23" s="1"/>
      <c r="J23" s="1"/>
      <c r="K23" s="1"/>
      <c r="L23" s="1"/>
    </row>
    <row r="24" customFormat="false" ht="25.5" hidden="false" customHeight="true" outlineLevel="0" collapsed="false">
      <c r="A24" s="1"/>
      <c r="B24" s="82" t="s">
        <v>121</v>
      </c>
      <c r="C24" s="60" t="s">
        <v>370</v>
      </c>
      <c r="D24" s="18" t="s">
        <v>371</v>
      </c>
      <c r="E24" s="18" t="s">
        <v>372</v>
      </c>
      <c r="F24" s="18"/>
      <c r="G24" s="18"/>
      <c r="H24" s="1"/>
      <c r="I24" s="1"/>
      <c r="J24" s="1"/>
      <c r="K24" s="1"/>
      <c r="L24" s="1"/>
    </row>
    <row r="25" customFormat="false" ht="25.5" hidden="false" customHeight="true" outlineLevel="0" collapsed="false">
      <c r="A25" s="1"/>
      <c r="B25" s="81" t="s">
        <v>128</v>
      </c>
      <c r="C25" s="63" t="s">
        <v>373</v>
      </c>
      <c r="D25" s="20" t="s">
        <v>374</v>
      </c>
      <c r="E25" s="20" t="s">
        <v>375</v>
      </c>
      <c r="F25" s="20"/>
      <c r="G25" s="20"/>
      <c r="H25" s="1"/>
      <c r="I25" s="1"/>
      <c r="J25" s="1"/>
      <c r="K25" s="1"/>
      <c r="L25" s="1"/>
    </row>
    <row r="26" customFormat="false" ht="25.5" hidden="false" customHeight="true" outlineLevel="0" collapsed="false">
      <c r="A26" s="1"/>
      <c r="B26" s="82" t="s">
        <v>133</v>
      </c>
      <c r="C26" s="60" t="s">
        <v>376</v>
      </c>
      <c r="D26" s="18" t="s">
        <v>377</v>
      </c>
      <c r="E26" s="18" t="s">
        <v>378</v>
      </c>
      <c r="F26" s="18"/>
      <c r="G26" s="18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mergeCells count="6">
    <mergeCell ref="B1:G1"/>
    <mergeCell ref="B2:G2"/>
    <mergeCell ref="B9:G9"/>
    <mergeCell ref="B12:G12"/>
    <mergeCell ref="B19:G19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false"/>
  </sheetPr>
  <dimension ref="A1:N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6"/>
    <col collapsed="false" customWidth="true" hidden="false" outlineLevel="0" max="5" min="4" style="0" width="20"/>
    <col collapsed="false" customWidth="true" hidden="false" outlineLevel="0" max="8" min="6" style="0" width="14"/>
    <col collapsed="false" customWidth="true" hidden="false" outlineLevel="0" max="10" min="9" style="0" width="16"/>
    <col collapsed="false" customWidth="true" hidden="false" outlineLevel="0" max="11" min="11" style="0" width="3"/>
  </cols>
  <sheetData>
    <row r="1" customFormat="false" ht="37.5" hidden="false" customHeight="true" outlineLevel="0" collapsed="false">
      <c r="A1" s="1"/>
      <c r="B1" s="83" t="s">
        <v>379</v>
      </c>
      <c r="C1" s="83"/>
      <c r="D1" s="83"/>
      <c r="E1" s="83"/>
      <c r="F1" s="83"/>
      <c r="G1" s="83"/>
      <c r="H1" s="83"/>
      <c r="I1" s="83"/>
      <c r="J1" s="83"/>
      <c r="K1" s="1"/>
      <c r="L1" s="1"/>
      <c r="M1" s="1"/>
      <c r="N1" s="1"/>
    </row>
    <row r="2" customFormat="false" ht="18" hidden="false" customHeight="true" outlineLevel="0" collapsed="false">
      <c r="A2" s="1"/>
      <c r="B2" s="16" t="s">
        <v>380</v>
      </c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</row>
    <row r="3" customFormat="false" ht="25.5" hidden="false" customHeight="true" outlineLevel="0" collapsed="false">
      <c r="A3" s="1"/>
      <c r="B3" s="28" t="s">
        <v>381</v>
      </c>
      <c r="C3" s="28" t="s">
        <v>382</v>
      </c>
      <c r="D3" s="28" t="s">
        <v>383</v>
      </c>
      <c r="E3" s="28" t="s">
        <v>384</v>
      </c>
      <c r="F3" s="28" t="s">
        <v>297</v>
      </c>
      <c r="G3" s="28" t="s">
        <v>385</v>
      </c>
      <c r="H3" s="28" t="s">
        <v>312</v>
      </c>
      <c r="I3" s="28" t="s">
        <v>386</v>
      </c>
      <c r="J3" s="28" t="s">
        <v>387</v>
      </c>
      <c r="K3" s="1"/>
      <c r="L3" s="1"/>
      <c r="M3" s="1"/>
      <c r="N3" s="1"/>
    </row>
    <row r="4" customFormat="false" ht="36" hidden="false" customHeight="true" outlineLevel="0" collapsed="false">
      <c r="A4" s="1"/>
      <c r="B4" s="19" t="s">
        <v>388</v>
      </c>
      <c r="C4" s="19" t="s">
        <v>186</v>
      </c>
      <c r="D4" s="19" t="s">
        <v>389</v>
      </c>
      <c r="E4" s="19" t="s">
        <v>390</v>
      </c>
      <c r="F4" s="39" t="s">
        <v>209</v>
      </c>
      <c r="G4" s="39" t="s">
        <v>391</v>
      </c>
      <c r="H4" s="39" t="s">
        <v>392</v>
      </c>
      <c r="I4" s="39" t="s">
        <v>393</v>
      </c>
      <c r="J4" s="39" t="s">
        <v>394</v>
      </c>
      <c r="K4" s="1"/>
      <c r="L4" s="1"/>
      <c r="M4" s="1"/>
      <c r="N4" s="1"/>
    </row>
    <row r="5" customFormat="false" ht="36" hidden="false" customHeight="true" outlineLevel="0" collapsed="false">
      <c r="A5" s="1"/>
      <c r="B5" s="21" t="s">
        <v>315</v>
      </c>
      <c r="C5" s="21" t="s">
        <v>134</v>
      </c>
      <c r="D5" s="21" t="s">
        <v>389</v>
      </c>
      <c r="E5" s="21" t="s">
        <v>395</v>
      </c>
      <c r="F5" s="33" t="s">
        <v>247</v>
      </c>
      <c r="G5" s="33" t="s">
        <v>396</v>
      </c>
      <c r="H5" s="33" t="s">
        <v>397</v>
      </c>
      <c r="I5" s="33" t="s">
        <v>398</v>
      </c>
      <c r="J5" s="33" t="s">
        <v>399</v>
      </c>
      <c r="K5" s="1"/>
      <c r="L5" s="1"/>
      <c r="M5" s="1"/>
      <c r="N5" s="1"/>
    </row>
    <row r="6" customFormat="false" ht="36" hidden="false" customHeight="true" outlineLevel="0" collapsed="false">
      <c r="A6" s="1"/>
      <c r="B6" s="19" t="s">
        <v>320</v>
      </c>
      <c r="C6" s="19" t="s">
        <v>400</v>
      </c>
      <c r="D6" s="19" t="s">
        <v>401</v>
      </c>
      <c r="E6" s="19" t="s">
        <v>402</v>
      </c>
      <c r="F6" s="39" t="s">
        <v>403</v>
      </c>
      <c r="G6" s="39" t="s">
        <v>404</v>
      </c>
      <c r="H6" s="39" t="s">
        <v>405</v>
      </c>
      <c r="I6" s="39" t="s">
        <v>406</v>
      </c>
      <c r="J6" s="39" t="s">
        <v>407</v>
      </c>
      <c r="K6" s="1"/>
      <c r="L6" s="1"/>
      <c r="M6" s="1"/>
      <c r="N6" s="1"/>
    </row>
    <row r="7" customFormat="false" ht="36" hidden="false" customHeight="true" outlineLevel="0" collapsed="false">
      <c r="A7" s="1"/>
      <c r="B7" s="21" t="s">
        <v>408</v>
      </c>
      <c r="C7" s="21" t="s">
        <v>409</v>
      </c>
      <c r="D7" s="21" t="s">
        <v>410</v>
      </c>
      <c r="E7" s="21" t="s">
        <v>411</v>
      </c>
      <c r="F7" s="33" t="s">
        <v>247</v>
      </c>
      <c r="G7" s="33" t="s">
        <v>412</v>
      </c>
      <c r="H7" s="33" t="s">
        <v>413</v>
      </c>
      <c r="I7" s="33" t="s">
        <v>414</v>
      </c>
      <c r="J7" s="33" t="s">
        <v>415</v>
      </c>
      <c r="K7" s="1"/>
      <c r="L7" s="1"/>
      <c r="M7" s="1"/>
      <c r="N7" s="1"/>
    </row>
    <row r="8" customFormat="false" ht="36" hidden="false" customHeight="true" outlineLevel="0" collapsed="false">
      <c r="A8" s="1"/>
      <c r="B8" s="19" t="s">
        <v>416</v>
      </c>
      <c r="C8" s="19" t="s">
        <v>417</v>
      </c>
      <c r="D8" s="19" t="s">
        <v>77</v>
      </c>
      <c r="E8" s="19" t="s">
        <v>390</v>
      </c>
      <c r="F8" s="39" t="s">
        <v>209</v>
      </c>
      <c r="G8" s="39" t="s">
        <v>391</v>
      </c>
      <c r="H8" s="39" t="s">
        <v>418</v>
      </c>
      <c r="I8" s="39" t="s">
        <v>419</v>
      </c>
      <c r="J8" s="39" t="s">
        <v>420</v>
      </c>
      <c r="K8" s="1"/>
      <c r="L8" s="1"/>
      <c r="M8" s="1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2">
    <mergeCell ref="B1:J1"/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52"/>
    <pageSetUpPr fitToPage="false"/>
  </sheetPr>
  <dimension ref="A1:P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11" min="6" style="0" width="14"/>
    <col collapsed="false" customWidth="true" hidden="false" outlineLevel="0" max="12" min="12" style="0" width="3"/>
  </cols>
  <sheetData>
    <row r="1" customFormat="false" ht="37.5" hidden="false" customHeight="true" outlineLevel="0" collapsed="false">
      <c r="A1" s="1"/>
      <c r="B1" s="84" t="s">
        <v>421</v>
      </c>
      <c r="C1" s="84"/>
      <c r="D1" s="84"/>
      <c r="E1" s="84"/>
      <c r="F1" s="84"/>
      <c r="G1" s="84"/>
      <c r="H1" s="84"/>
      <c r="I1" s="84"/>
      <c r="J1" s="84"/>
      <c r="K1" s="84"/>
      <c r="L1" s="1"/>
      <c r="M1" s="1"/>
      <c r="N1" s="1"/>
      <c r="O1" s="1"/>
      <c r="P1" s="1"/>
    </row>
    <row r="2" customFormat="false" ht="18" hidden="false" customHeight="true" outlineLevel="0" collapsed="false">
      <c r="A2" s="1"/>
      <c r="B2" s="16" t="s">
        <v>422</v>
      </c>
      <c r="C2" s="16"/>
      <c r="D2" s="16"/>
      <c r="E2" s="16"/>
      <c r="F2" s="16"/>
      <c r="G2" s="16"/>
      <c r="H2" s="16"/>
      <c r="I2" s="16"/>
      <c r="J2" s="16"/>
      <c r="K2" s="16"/>
      <c r="L2" s="1"/>
      <c r="M2" s="1"/>
      <c r="N2" s="1"/>
      <c r="O2" s="1"/>
      <c r="P2" s="1"/>
    </row>
    <row r="3" customFormat="false" ht="25.5" hidden="false" customHeight="true" outlineLevel="0" collapsed="false">
      <c r="A3" s="1"/>
      <c r="B3" s="28"/>
      <c r="C3" s="28" t="s">
        <v>280</v>
      </c>
      <c r="D3" s="28" t="s">
        <v>99</v>
      </c>
      <c r="E3" s="28" t="s">
        <v>100</v>
      </c>
      <c r="F3" s="28" t="s">
        <v>297</v>
      </c>
      <c r="G3" s="28" t="s">
        <v>423</v>
      </c>
      <c r="H3" s="28" t="s">
        <v>424</v>
      </c>
      <c r="I3" s="28" t="s">
        <v>425</v>
      </c>
      <c r="J3" s="28" t="s">
        <v>309</v>
      </c>
      <c r="K3" s="28" t="s">
        <v>113</v>
      </c>
      <c r="L3" s="28" t="s">
        <v>117</v>
      </c>
      <c r="M3" s="1"/>
      <c r="N3" s="1"/>
      <c r="O3" s="1"/>
      <c r="P3" s="1"/>
    </row>
    <row r="4" customFormat="false" ht="24" hidden="false" customHeight="true" outlineLevel="0" collapsed="false">
      <c r="A4" s="1"/>
      <c r="B4" s="85" t="s">
        <v>426</v>
      </c>
      <c r="C4" s="85"/>
      <c r="D4" s="85"/>
      <c r="E4" s="85"/>
      <c r="F4" s="85"/>
      <c r="G4" s="85"/>
      <c r="H4" s="85"/>
      <c r="I4" s="85"/>
      <c r="J4" s="85"/>
      <c r="K4" s="85"/>
      <c r="L4" s="1"/>
      <c r="M4" s="1"/>
      <c r="N4" s="1"/>
      <c r="O4" s="1"/>
      <c r="P4" s="1"/>
    </row>
    <row r="5" customFormat="false" ht="37.5" hidden="false" customHeight="true" outlineLevel="0" collapsed="false">
      <c r="A5" s="1"/>
      <c r="B5" s="86" t="s">
        <v>427</v>
      </c>
      <c r="C5" s="67" t="str">
        <f aca="false">IF('🏢 L1 Company OKRs'!C5="","",'🏢 L1 Company OKRs'!C5)</f>
        <v>Establish Virorah PMS as the #1 HR EdTech platform in India by end of 2026</v>
      </c>
      <c r="D5" s="67" t="str">
        <f aca="false">IF('🏢 L1 Company OKRs'!D5="","",'🏢 L1 Company OKRs'!D5)</f>
        <v>Reach 10,000 active Pro subscribers globally</v>
      </c>
      <c r="E5" s="67" t="str">
        <f aca="false">IF('🏢 L1 Company OKRs'!E5="","",'🏢 L1 Company OKRs'!E5)</f>
        <v>CEO</v>
      </c>
      <c r="F5" s="87" t="n">
        <f aca="false">IFERROR('🏢 L1 Company OKRs'!J5,"")</f>
        <v>0.034</v>
      </c>
      <c r="G5" s="88" t="n">
        <f aca="false">IFERROR('🏢 L1 Company OKRs'!M5,"")</f>
        <v>3.4</v>
      </c>
      <c r="H5" s="67" t="str">
        <f aca="false">IFERROR('🏢 L1 Company OKRs'!N5,"")</f>
        <v>🔴 Off Track</v>
      </c>
      <c r="I5" s="67" t="str">
        <f aca="false">IFERROR('🏢 L1 Company OKRs'!F5,"")</f>
        <v>Aspirational</v>
      </c>
      <c r="J5" s="67" t="str">
        <f aca="false">IFERROR('🏢 L1 Company OKRs'!Q5,"")</f>
        <v>Q3 2026</v>
      </c>
      <c r="K5" s="67" t="str">
        <f aca="false">IFERROR('🏢 L1 Company OKRs'!U5,"")</f>
        <v>Primary growth KR</v>
      </c>
      <c r="L5" s="1"/>
      <c r="M5" s="1"/>
      <c r="N5" s="1"/>
      <c r="O5" s="1"/>
      <c r="P5" s="1"/>
    </row>
    <row r="6" customFormat="false" ht="37.5" hidden="false" customHeight="true" outlineLevel="0" collapsed="false">
      <c r="A6" s="1"/>
      <c r="B6" s="86" t="s">
        <v>427</v>
      </c>
      <c r="C6" s="66" t="str">
        <f aca="false">IF('🏢 L1 Company OKRs'!C6="","",'🏢 L1 Company OKRs'!C6)</f>
        <v/>
      </c>
      <c r="D6" s="66" t="str">
        <f aca="false">IF('🏢 L1 Company OKRs'!D6="","",'🏢 L1 Company OKRs'!D6)</f>
        <v>Achieve Net Promoter Score of 65+ from Pro users</v>
      </c>
      <c r="E6" s="66" t="str">
        <f aca="false">IF('🏢 L1 Company OKRs'!E6="","",'🏢 L1 Company OKRs'!E6)</f>
        <v>CPO</v>
      </c>
      <c r="F6" s="89" t="n">
        <f aca="false">IFERROR('🏢 L1 Company OKRs'!J6,"")</f>
        <v>0</v>
      </c>
      <c r="G6" s="90" t="n">
        <f aca="false">IFERROR('🏢 L1 Company OKRs'!M6,"")</f>
        <v>0</v>
      </c>
      <c r="H6" s="66" t="str">
        <f aca="false">IFERROR('🏢 L1 Company OKRs'!N6,"")</f>
        <v>🔴 Off Track</v>
      </c>
      <c r="I6" s="66" t="str">
        <f aca="false">IFERROR('🏢 L1 Company OKRs'!F6,"")</f>
        <v>Committed</v>
      </c>
      <c r="J6" s="66" t="str">
        <f aca="false">IFERROR('🏢 L1 Company OKRs'!Q6,"")</f>
        <v>Q3 2026</v>
      </c>
      <c r="K6" s="66" t="str">
        <f aca="false">IFERROR('🏢 L1 Company OKRs'!U6,"")</f>
        <v>First survey at 500 users</v>
      </c>
      <c r="L6" s="1"/>
      <c r="M6" s="1"/>
      <c r="N6" s="1"/>
      <c r="O6" s="1"/>
      <c r="P6" s="1"/>
    </row>
    <row r="7" customFormat="false" ht="37.5" hidden="false" customHeight="true" outlineLevel="0" collapsed="false">
      <c r="A7" s="1"/>
      <c r="B7" s="86" t="s">
        <v>427</v>
      </c>
      <c r="C7" s="67" t="str">
        <f aca="false">IF('🏢 L1 Company OKRs'!C7="","",'🏢 L1 Company OKRs'!C7)</f>
        <v/>
      </c>
      <c r="D7" s="67" t="str">
        <f aca="false">IF('🏢 L1 Company OKRs'!D7="","",'🏢 L1 Company OKRs'!D7)</f>
        <v>Launch in 3 international markets (SG, UAE, UK)</v>
      </c>
      <c r="E7" s="67" t="str">
        <f aca="false">IF('🏢 L1 Company OKRs'!E7="","",'🏢 L1 Company OKRs'!E7)</f>
        <v>CMO</v>
      </c>
      <c r="F7" s="87" t="n">
        <f aca="false">IFERROR('🏢 L1 Company OKRs'!J7,"")</f>
        <v>0</v>
      </c>
      <c r="G7" s="88" t="n">
        <f aca="false">IFERROR('🏢 L1 Company OKRs'!M7,"")</f>
        <v>0</v>
      </c>
      <c r="H7" s="67" t="str">
        <f aca="false">IFERROR('🏢 L1 Company OKRs'!N7,"")</f>
        <v>🔴 Off Track</v>
      </c>
      <c r="I7" s="67" t="str">
        <f aca="false">IFERROR('🏢 L1 Company OKRs'!F7,"")</f>
        <v>Aspirational</v>
      </c>
      <c r="J7" s="67" t="str">
        <f aca="false">IFERROR('🏢 L1 Company OKRs'!Q7,"")</f>
        <v>Q3 2026</v>
      </c>
      <c r="K7" s="67" t="str">
        <f aca="false">IFERROR('🏢 L1 Company OKRs'!U7,"")</f>
        <v>Gumroad live = auto-unlock</v>
      </c>
      <c r="L7" s="1"/>
      <c r="M7" s="1"/>
      <c r="N7" s="1"/>
      <c r="O7" s="1"/>
      <c r="P7" s="1"/>
    </row>
    <row r="8" customFormat="false" ht="37.5" hidden="false" customHeight="true" outlineLevel="0" collapsed="false">
      <c r="A8" s="1"/>
      <c r="B8" s="86" t="s">
        <v>427</v>
      </c>
      <c r="C8" s="66" t="str">
        <f aca="false">IF('🏢 L1 Company OKRs'!C8="","",'🏢 L1 Company OKRs'!C8)</f>
        <v/>
      </c>
      <c r="D8" s="66" t="str">
        <f aca="false">IF('🏢 L1 Company OKRs'!D8="","",'🏢 L1 Company OKRs'!D8)</f>
        <v>Secure DPIIT Startup India recognition</v>
      </c>
      <c r="E8" s="66" t="str">
        <f aca="false">IF('🏢 L1 Company OKRs'!E8="","",'🏢 L1 Company OKRs'!E8)</f>
        <v>CFO</v>
      </c>
      <c r="F8" s="89" t="n">
        <f aca="false">IFERROR('🏢 L1 Company OKRs'!J8,"")</f>
        <v>0</v>
      </c>
      <c r="G8" s="90" t="n">
        <f aca="false">IFERROR('🏢 L1 Company OKRs'!M8,"")</f>
        <v>0</v>
      </c>
      <c r="H8" s="66" t="str">
        <f aca="false">IFERROR('🏢 L1 Company OKRs'!N8,"")</f>
        <v>🔴 Off Track</v>
      </c>
      <c r="I8" s="66" t="str">
        <f aca="false">IFERROR('🏢 L1 Company OKRs'!F8,"")</f>
        <v>Committed</v>
      </c>
      <c r="J8" s="66" t="str">
        <f aca="false">IFERROR('🏢 L1 Company OKRs'!Q8,"")</f>
        <v>Q3 2026</v>
      </c>
      <c r="K8" s="66" t="str">
        <f aca="false">IFERROR('🏢 L1 Company OKRs'!U8,"")</f>
        <v>CA handling</v>
      </c>
      <c r="L8" s="1"/>
      <c r="M8" s="1"/>
      <c r="N8" s="1"/>
      <c r="O8" s="1"/>
      <c r="P8" s="1"/>
    </row>
    <row r="9" customFormat="false" ht="37.5" hidden="false" customHeight="true" outlineLevel="0" collapsed="false">
      <c r="A9" s="1"/>
      <c r="B9" s="86" t="s">
        <v>427</v>
      </c>
      <c r="C9" s="67" t="str">
        <f aca="false">IF('🏢 L1 Company OKRs'!C9="","",'🏢 L1 Company OKRs'!C9)</f>
        <v>Build a product that genuinely replaces enterprise PMS tools at 5% of their cost</v>
      </c>
      <c r="D9" s="67" t="str">
        <f aca="false">IF('🏢 L1 Company OKRs'!D9="","",'🏢 L1 Company OKRs'!D9)</f>
        <v>Ship Goal Diagnostic Lab + Bias Audit to 100% of Pro users</v>
      </c>
      <c r="E9" s="67" t="str">
        <f aca="false">IF('🏢 L1 Company OKRs'!E9="","",'🏢 L1 Company OKRs'!E9)</f>
        <v>CPO</v>
      </c>
      <c r="F9" s="87" t="n">
        <f aca="false">IFERROR('🏢 L1 Company OKRs'!J9,"")</f>
        <v>1</v>
      </c>
      <c r="G9" s="88" t="n">
        <f aca="false">IFERROR('🏢 L1 Company OKRs'!M9,"")</f>
        <v>100</v>
      </c>
      <c r="H9" s="67" t="str">
        <f aca="false">IFERROR('🏢 L1 Company OKRs'!N9,"")</f>
        <v>🏆 Supercharged</v>
      </c>
      <c r="I9" s="67" t="str">
        <f aca="false">IFERROR('🏢 L1 Company OKRs'!F9,"")</f>
        <v>Committed</v>
      </c>
      <c r="J9" s="67" t="str">
        <f aca="false">IFERROR('🏢 L1 Company OKRs'!Q9,"")</f>
        <v>Q3 2026</v>
      </c>
      <c r="K9" s="67" t="str">
        <f aca="false">IFERROR('🏢 L1 Company OKRs'!U9,"")</f>
        <v>Completed ✅</v>
      </c>
      <c r="L9" s="1"/>
      <c r="M9" s="1"/>
      <c r="N9" s="1"/>
      <c r="O9" s="1"/>
      <c r="P9" s="1"/>
    </row>
    <row r="10" customFormat="false" ht="37.5" hidden="false" customHeight="true" outlineLevel="0" collapsed="false">
      <c r="A10" s="1"/>
      <c r="B10" s="86" t="s">
        <v>427</v>
      </c>
      <c r="C10" s="66" t="str">
        <f aca="false">IF('🏢 L1 Company OKRs'!C10="","",'🏢 L1 Company OKRs'!C10)</f>
        <v/>
      </c>
      <c r="D10" s="66" t="str">
        <f aca="false">IF('🏢 L1 Company OKRs'!D10="","",'🏢 L1 Company OKRs'!D10)</f>
        <v>Deliver 3 enterprise-grade Excel toolkits in Downloads Library</v>
      </c>
      <c r="E10" s="66" t="str">
        <f aca="false">IF('🏢 L1 Company OKRs'!E10="","",'🏢 L1 Company OKRs'!E10)</f>
        <v>CPO</v>
      </c>
      <c r="F10" s="89" t="n">
        <f aca="false">IFERROR('🏢 L1 Company OKRs'!J10,"")</f>
        <v>1</v>
      </c>
      <c r="G10" s="90" t="n">
        <f aca="false">IFERROR('🏢 L1 Company OKRs'!M10,"")</f>
        <v>100</v>
      </c>
      <c r="H10" s="66" t="str">
        <f aca="false">IFERROR('🏢 L1 Company OKRs'!N10,"")</f>
        <v>🏆 Supercharged</v>
      </c>
      <c r="I10" s="66" t="str">
        <f aca="false">IFERROR('🏢 L1 Company OKRs'!F10,"")</f>
        <v>Committed</v>
      </c>
      <c r="J10" s="66" t="str">
        <f aca="false">IFERROR('🏢 L1 Company OKRs'!Q10,"")</f>
        <v>Q3 2026</v>
      </c>
      <c r="K10" s="66" t="str">
        <f aca="false">IFERROR('🏢 L1 Company OKRs'!U10,"")</f>
        <v>Completed ✅</v>
      </c>
      <c r="L10" s="1"/>
      <c r="M10" s="1"/>
      <c r="N10" s="1"/>
      <c r="O10" s="1"/>
      <c r="P10" s="1"/>
    </row>
    <row r="11" customFormat="false" ht="37.5" hidden="false" customHeight="true" outlineLevel="0" collapsed="false">
      <c r="A11" s="1"/>
      <c r="B11" s="86" t="s">
        <v>427</v>
      </c>
      <c r="C11" s="67" t="str">
        <f aca="false">IF('🏢 L1 Company OKRs'!C11="","",'🏢 L1 Company OKRs'!C11)</f>
        <v/>
      </c>
      <c r="D11" s="67" t="str">
        <f aca="false">IF('🏢 L1 Company OKRs'!D11="","",'🏢 L1 Company OKRs'!D11)</f>
        <v>Achieve &lt; 3 min time-to-first-insight from sign-up</v>
      </c>
      <c r="E11" s="67" t="str">
        <f aca="false">IF('🏢 L1 Company OKRs'!E11="","",'🏢 L1 Company OKRs'!E11)</f>
        <v>CTO</v>
      </c>
      <c r="F11" s="87" t="n">
        <f aca="false">IFERROR('🏢 L1 Company OKRs'!J11,"")</f>
        <v>0</v>
      </c>
      <c r="G11" s="88" t="n">
        <f aca="false">IFERROR('🏢 L1 Company OKRs'!M11,"")</f>
        <v>0</v>
      </c>
      <c r="H11" s="67" t="str">
        <f aca="false">IFERROR('🏢 L1 Company OKRs'!N11,"")</f>
        <v>🔴 Off Track</v>
      </c>
      <c r="I11" s="67" t="str">
        <f aca="false">IFERROR('🏢 L1 Company OKRs'!F11,"")</f>
        <v>Aspirational</v>
      </c>
      <c r="J11" s="67" t="str">
        <f aca="false">IFERROR('🏢 L1 Company OKRs'!Q11,"")</f>
        <v>Q3 2026</v>
      </c>
      <c r="K11" s="67" t="str">
        <f aca="false">IFERROR('🏢 L1 Company OKRs'!U11,"")</f>
        <v>Track via GA4</v>
      </c>
      <c r="L11" s="1"/>
      <c r="M11" s="1"/>
      <c r="N11" s="1"/>
      <c r="O11" s="1"/>
      <c r="P11" s="1"/>
    </row>
    <row r="12" customFormat="false" ht="37.5" hidden="false" customHeight="true" outlineLevel="0" collapsed="false">
      <c r="A12" s="1"/>
      <c r="B12" s="86" t="s">
        <v>427</v>
      </c>
      <c r="C12" s="66" t="str">
        <f aca="false">IF('🏢 L1 Company OKRs'!C12="","",'🏢 L1 Company OKRs'!C12)</f>
        <v/>
      </c>
      <c r="D12" s="66" t="str">
        <f aca="false">IF('🏢 L1 Company OKRs'!D12="","",'🏢 L1 Company OKRs'!D12)</f>
        <v>Launch 4 Pro certifications with unique credential IDs</v>
      </c>
      <c r="E12" s="66" t="str">
        <f aca="false">IF('🏢 L1 Company OKRs'!E12="","",'🏢 L1 Company OKRs'!E12)</f>
        <v>CPO</v>
      </c>
      <c r="F12" s="89" t="n">
        <f aca="false">IFERROR('🏢 L1 Company OKRs'!J12,"")</f>
        <v>1</v>
      </c>
      <c r="G12" s="90" t="n">
        <f aca="false">IFERROR('🏢 L1 Company OKRs'!M12,"")</f>
        <v>100</v>
      </c>
      <c r="H12" s="66" t="str">
        <f aca="false">IFERROR('🏢 L1 Company OKRs'!N12,"")</f>
        <v>🏆 Supercharged</v>
      </c>
      <c r="I12" s="66" t="str">
        <f aca="false">IFERROR('🏢 L1 Company OKRs'!F12,"")</f>
        <v>Committed</v>
      </c>
      <c r="J12" s="66" t="str">
        <f aca="false">IFERROR('🏢 L1 Company OKRs'!Q12,"")</f>
        <v>Q3 2026</v>
      </c>
      <c r="K12" s="66" t="str">
        <f aca="false">IFERROR('🏢 L1 Company OKRs'!U12,"")</f>
        <v>All 4 live</v>
      </c>
      <c r="L12" s="1"/>
      <c r="M12" s="1"/>
      <c r="N12" s="1"/>
      <c r="O12" s="1"/>
      <c r="P12" s="1"/>
    </row>
    <row r="13" customFormat="false" ht="37.5" hidden="false" customHeight="true" outlineLevel="0" collapsed="false">
      <c r="A13" s="1"/>
      <c r="B13" s="86" t="s">
        <v>427</v>
      </c>
      <c r="C13" s="67" t="str">
        <f aca="false">IF('🏢 L1 Company OKRs'!C13="","",'🏢 L1 Company OKRs'!C13)</f>
        <v>Achieve financial sustainability within 12 months of launch</v>
      </c>
      <c r="D13" s="67" t="str">
        <f aca="false">IF('🏢 L1 Company OKRs'!D13="","",'🏢 L1 Company OKRs'!D13)</f>
        <v>Hit ₹50L ARR by end of FY2026</v>
      </c>
      <c r="E13" s="67" t="str">
        <f aca="false">IF('🏢 L1 Company OKRs'!E13="","",'🏢 L1 Company OKRs'!E13)</f>
        <v>CEO</v>
      </c>
      <c r="F13" s="87" t="n">
        <f aca="false">IFERROR('🏢 L1 Company OKRs'!J13,"")</f>
        <v>0</v>
      </c>
      <c r="G13" s="88" t="n">
        <f aca="false">IFERROR('🏢 L1 Company OKRs'!M13,"")</f>
        <v>0</v>
      </c>
      <c r="H13" s="67" t="str">
        <f aca="false">IFERROR('🏢 L1 Company OKRs'!N13,"")</f>
        <v>🔴 Off Track</v>
      </c>
      <c r="I13" s="67" t="str">
        <f aca="false">IFERROR('🏢 L1 Company OKRs'!F13,"")</f>
        <v>Aspirational</v>
      </c>
      <c r="J13" s="67" t="str">
        <f aca="false">IFERROR('🏢 L1 Company OKRs'!Q13,"")</f>
        <v>Q3 2026</v>
      </c>
      <c r="K13" s="67" t="str">
        <f aca="false">IFERROR('🏢 L1 Company OKRs'!U13,"")</f>
        <v>Gumroad + Razorpay needed</v>
      </c>
      <c r="L13" s="1"/>
      <c r="M13" s="1"/>
      <c r="N13" s="1"/>
      <c r="O13" s="1"/>
      <c r="P13" s="1"/>
    </row>
    <row r="14" customFormat="false" ht="37.5" hidden="false" customHeight="true" outlineLevel="0" collapsed="false">
      <c r="A14" s="1"/>
      <c r="B14" s="86" t="s">
        <v>427</v>
      </c>
      <c r="C14" s="66" t="str">
        <f aca="false">IF('🏢 L1 Company OKRs'!C14="","",'🏢 L1 Company OKRs'!C14)</f>
        <v/>
      </c>
      <c r="D14" s="66" t="str">
        <f aca="false">IF('🏢 L1 Company OKRs'!D14="","",'🏢 L1 Company OKRs'!D14)</f>
        <v>Keep monthly burn below ₹8L</v>
      </c>
      <c r="E14" s="66" t="str">
        <f aca="false">IF('🏢 L1 Company OKRs'!E14="","",'🏢 L1 Company OKRs'!E14)</f>
        <v>CFO</v>
      </c>
      <c r="F14" s="89" t="n">
        <f aca="false">IFERROR('🏢 L1 Company OKRs'!J14,"")</f>
        <v>0</v>
      </c>
      <c r="G14" s="90" t="n">
        <f aca="false">IFERROR('🏢 L1 Company OKRs'!M14,"")</f>
        <v>0</v>
      </c>
      <c r="H14" s="66" t="str">
        <f aca="false">IFERROR('🏢 L1 Company OKRs'!N14,"")</f>
        <v>🔴 Off Track</v>
      </c>
      <c r="I14" s="66" t="str">
        <f aca="false">IFERROR('🏢 L1 Company OKRs'!F14,"")</f>
        <v>Committed</v>
      </c>
      <c r="J14" s="66" t="str">
        <f aca="false">IFERROR('🏢 L1 Company OKRs'!Q14,"")</f>
        <v>Q3 2026</v>
      </c>
      <c r="K14" s="66" t="str">
        <f aca="false">IFERROR('🏢 L1 Company OKRs'!U14,"")</f>
        <v>Track monthly</v>
      </c>
      <c r="L14" s="1"/>
      <c r="M14" s="1"/>
      <c r="N14" s="1"/>
      <c r="O14" s="1"/>
      <c r="P14" s="1"/>
    </row>
    <row r="15" customFormat="false" ht="37.5" hidden="false" customHeight="true" outlineLevel="0" collapsed="false">
      <c r="A15" s="1"/>
      <c r="B15" s="86" t="s">
        <v>427</v>
      </c>
      <c r="C15" s="67" t="str">
        <f aca="false">IF('🏢 L1 Company OKRs'!C15="","",'🏢 L1 Company OKRs'!C15)</f>
        <v/>
      </c>
      <c r="D15" s="67" t="str">
        <f aca="false">IF('🏢 L1 Company OKRs'!D15="","",'🏢 L1 Company OKRs'!D15)</f>
        <v>Achieve 40% gross margin on Pro subscriptions</v>
      </c>
      <c r="E15" s="67" t="str">
        <f aca="false">IF('🏢 L1 Company OKRs'!E15="","",'🏢 L1 Company OKRs'!E15)</f>
        <v>CFO</v>
      </c>
      <c r="F15" s="87" t="n">
        <f aca="false">IFERROR('🏢 L1 Company OKRs'!J15,"")</f>
        <v>0</v>
      </c>
      <c r="G15" s="88" t="n">
        <f aca="false">IFERROR('🏢 L1 Company OKRs'!M15,"")</f>
        <v>0</v>
      </c>
      <c r="H15" s="67" t="str">
        <f aca="false">IFERROR('🏢 L1 Company OKRs'!N15,"")</f>
        <v>🔴 Off Track</v>
      </c>
      <c r="I15" s="67" t="str">
        <f aca="false">IFERROR('🏢 L1 Company OKRs'!F15,"")</f>
        <v>Aspirational</v>
      </c>
      <c r="J15" s="67" t="str">
        <f aca="false">IFERROR('🏢 L1 Company OKRs'!Q15,"")</f>
        <v>Q3 2026</v>
      </c>
      <c r="K15" s="67" t="str">
        <f aca="false">IFERROR('🏢 L1 Company OKRs'!U15,"")</f>
        <v>After 500 paying users</v>
      </c>
      <c r="L15" s="1"/>
      <c r="M15" s="1"/>
      <c r="N15" s="1"/>
      <c r="O15" s="1"/>
      <c r="P15" s="1"/>
    </row>
    <row r="16" customFormat="false" ht="37.5" hidden="false" customHeight="true" outlineLevel="0" collapsed="false">
      <c r="A16" s="1"/>
      <c r="B16" s="86" t="s">
        <v>427</v>
      </c>
      <c r="C16" s="66" t="str">
        <f aca="false">IF('🏢 L1 Company OKRs'!C16="","",'🏢 L1 Company OKRs'!C16)</f>
        <v/>
      </c>
      <c r="D16" s="66" t="str">
        <f aca="false">IF('🏢 L1 Company OKRs'!D16="","",'🏢 L1 Company OKRs'!D16)</f>
        <v/>
      </c>
      <c r="E16" s="66" t="str">
        <f aca="false">IF('🏢 L1 Company OKRs'!E16="","",'🏢 L1 Company OKRs'!E16)</f>
        <v/>
      </c>
      <c r="F16" s="89" t="n">
        <f aca="false">IFERROR('🏢 L1 Company OKRs'!J16,"")</f>
        <v>0</v>
      </c>
      <c r="G16" s="90" t="n">
        <f aca="false">IFERROR('🏢 L1 Company OKRs'!M16,"")</f>
        <v>0</v>
      </c>
      <c r="H16" s="66" t="n">
        <f aca="false">IFERROR('🏢 L1 Company OKRs'!N16,"")</f>
        <v>0</v>
      </c>
      <c r="I16" s="66" t="n">
        <f aca="false">IFERROR('🏢 L1 Company OKRs'!F16,"")</f>
        <v>0</v>
      </c>
      <c r="J16" s="66" t="n">
        <f aca="false">IFERROR('🏢 L1 Company OKRs'!Q16,"")</f>
        <v>0</v>
      </c>
      <c r="K16" s="66" t="n">
        <f aca="false">IFERROR('🏢 L1 Company OKRs'!U16,"")</f>
        <v>0</v>
      </c>
      <c r="L16" s="1"/>
      <c r="M16" s="1"/>
      <c r="N16" s="1"/>
      <c r="O16" s="1"/>
      <c r="P16" s="1"/>
    </row>
    <row r="17" customFormat="false" ht="37.5" hidden="false" customHeight="true" outlineLevel="0" collapsed="false">
      <c r="A17" s="1"/>
      <c r="B17" s="86" t="s">
        <v>427</v>
      </c>
      <c r="C17" s="67" t="str">
        <f aca="false">IF('🏢 L1 Company OKRs'!C17="","",'🏢 L1 Company OKRs'!C17)</f>
        <v/>
      </c>
      <c r="D17" s="67" t="str">
        <f aca="false">IF('🏢 L1 Company OKRs'!D17="","",'🏢 L1 Company OKRs'!D17)</f>
        <v/>
      </c>
      <c r="E17" s="67" t="str">
        <f aca="false">IF('🏢 L1 Company OKRs'!E17="","",'🏢 L1 Company OKRs'!E17)</f>
        <v/>
      </c>
      <c r="F17" s="87" t="str">
        <f aca="false">IFERROR('🏢 L1 Company OKRs'!J17,"")</f>
        <v>On Track KRs</v>
      </c>
      <c r="G17" s="88" t="n">
        <f aca="false">IFERROR('🏢 L1 Company OKRs'!M17,"")</f>
        <v>0</v>
      </c>
      <c r="H17" s="67" t="str">
        <f aca="false">IFERROR('🏢 L1 Company OKRs'!N17,"")</f>
        <v>Off Track KRs</v>
      </c>
      <c r="I17" s="67" t="str">
        <f aca="false">IFERROR('🏢 L1 Company OKRs'!F17,"")</f>
        <v>Avg Google Score</v>
      </c>
      <c r="J17" s="67" t="n">
        <f aca="false">IFERROR('🏢 L1 Company OKRs'!Q17,"")</f>
        <v>0</v>
      </c>
      <c r="K17" s="67" t="n">
        <f aca="false">IFERROR('🏢 L1 Company OKRs'!U17,"")</f>
        <v>0</v>
      </c>
      <c r="L17" s="1"/>
      <c r="M17" s="1"/>
      <c r="N17" s="1"/>
      <c r="O17" s="1"/>
      <c r="P17" s="1"/>
    </row>
    <row r="18" customFormat="false" ht="24" hidden="false" customHeight="true" outlineLevel="0" collapsed="false">
      <c r="A18" s="1"/>
      <c r="B18" s="91" t="s">
        <v>428</v>
      </c>
      <c r="C18" s="91"/>
      <c r="D18" s="91"/>
      <c r="E18" s="91"/>
      <c r="F18" s="91"/>
      <c r="G18" s="91"/>
      <c r="H18" s="91"/>
      <c r="I18" s="91"/>
      <c r="J18" s="91"/>
      <c r="K18" s="91"/>
      <c r="L18" s="1"/>
      <c r="M18" s="1"/>
      <c r="N18" s="1"/>
      <c r="O18" s="1"/>
      <c r="P18" s="1"/>
    </row>
    <row r="19" customFormat="false" ht="37.5" hidden="false" customHeight="true" outlineLevel="0" collapsed="false">
      <c r="A19" s="1"/>
      <c r="B19" s="92" t="s">
        <v>429</v>
      </c>
      <c r="C19" s="67" t="str">
        <f aca="false">IF('🏬 L2 Dept OKRs'!C5="","",'🏬 L2 Dept OKRs'!C5)</f>
        <v>Product: Deliver a 10/10 learning experience that HR professionals recommend unprompted</v>
      </c>
      <c r="D19" s="67" t="str">
        <f aca="false">IF('🏬 L2 Dept OKRs'!D5="","",'🏬 L2 Dept OKRs'!D5)</f>
        <v>Reduce page load time to &lt; 2s on all calculator pages</v>
      </c>
      <c r="E19" s="67" t="str">
        <f aca="false">IF('🏬 L2 Dept OKRs'!E5="","",'🏬 L2 Dept OKRs'!E5)</f>
        <v>Head of Engineering</v>
      </c>
      <c r="F19" s="87" t="n">
        <f aca="false">IFERROR('🏬 L2 Dept OKRs'!J5,"")</f>
        <v>0</v>
      </c>
      <c r="G19" s="88" t="n">
        <f aca="false">IFERROR('🏬 L2 Dept OKRs'!M5,"")</f>
        <v>0</v>
      </c>
      <c r="H19" s="67" t="str">
        <f aca="false">IFERROR('🏬 L2 Dept OKRs'!N5,"")</f>
        <v>🔴 Off Track</v>
      </c>
      <c r="I19" s="67" t="str">
        <f aca="false">IFERROR('🏬 L2 Dept OKRs'!F5,"")</f>
        <v>Committed</v>
      </c>
      <c r="J19" s="67" t="str">
        <f aca="false">IFERROR('🏬 L2 Dept OKRs'!Q5,"")</f>
        <v>Q3 2026</v>
      </c>
      <c r="K19" s="67" t="str">
        <f aca="false">IFERROR('🏬 L2 Dept OKRs'!U5,"")</f>
        <v>Measure via Lighthouse</v>
      </c>
      <c r="L19" s="1"/>
      <c r="M19" s="1"/>
      <c r="N19" s="1"/>
      <c r="O19" s="1"/>
      <c r="P19" s="1"/>
    </row>
    <row r="20" customFormat="false" ht="37.5" hidden="false" customHeight="true" outlineLevel="0" collapsed="false">
      <c r="A20" s="1"/>
      <c r="B20" s="92" t="s">
        <v>429</v>
      </c>
      <c r="C20" s="66" t="str">
        <f aca="false">IF('🏬 L2 Dept OKRs'!C6="","",'🏬 L2 Dept OKRs'!C6)</f>
        <v/>
      </c>
      <c r="D20" s="66" t="str">
        <f aca="false">IF('🏬 L2 Dept OKRs'!D6="","",'🏬 L2 Dept OKRs'!D6)</f>
        <v>Ship Conversation Simulator v2 with lip-sync</v>
      </c>
      <c r="E20" s="66" t="str">
        <f aca="false">IF('🏬 L2 Dept OKRs'!E6="","",'🏬 L2 Dept OKRs'!E6)</f>
        <v>Head of Product</v>
      </c>
      <c r="F20" s="89" t="n">
        <f aca="false">IFERROR('🏬 L2 Dept OKRs'!J6,"")</f>
        <v>0</v>
      </c>
      <c r="G20" s="90" t="n">
        <f aca="false">IFERROR('🏬 L2 Dept OKRs'!M6,"")</f>
        <v>0</v>
      </c>
      <c r="H20" s="66" t="str">
        <f aca="false">IFERROR('🏬 L2 Dept OKRs'!N6,"")</f>
        <v>🔴 Off Track</v>
      </c>
      <c r="I20" s="66" t="str">
        <f aca="false">IFERROR('🏬 L2 Dept OKRs'!F6,"")</f>
        <v>Aspirational</v>
      </c>
      <c r="J20" s="66" t="str">
        <f aca="false">IFERROR('🏬 L2 Dept OKRs'!Q6,"")</f>
        <v>Q3 2026</v>
      </c>
      <c r="K20" s="66" t="str">
        <f aca="false">IFERROR('🏬 L2 Dept OKRs'!U6,"")</f>
        <v>CSS lip overlay abandoned — real lip-sync needed</v>
      </c>
      <c r="L20" s="1"/>
      <c r="M20" s="1"/>
      <c r="N20" s="1"/>
      <c r="O20" s="1"/>
      <c r="P20" s="1"/>
    </row>
    <row r="21" customFormat="false" ht="37.5" hidden="false" customHeight="true" outlineLevel="0" collapsed="false">
      <c r="A21" s="1"/>
      <c r="B21" s="92" t="s">
        <v>429</v>
      </c>
      <c r="C21" s="67" t="str">
        <f aca="false">IF('🏬 L2 Dept OKRs'!C7="","",'🏬 L2 Dept OKRs'!C7)</f>
        <v/>
      </c>
      <c r="D21" s="67" t="str">
        <f aca="false">IF('🏬 L2 Dept OKRs'!D7="","",'🏬 L2 Dept OKRs'!D7)</f>
        <v>Publish 20 expert guides in Learning Hub</v>
      </c>
      <c r="E21" s="67" t="str">
        <f aca="false">IF('🏬 L2 Dept OKRs'!E7="","",'🏬 L2 Dept OKRs'!E7)</f>
        <v>Head of Product</v>
      </c>
      <c r="F21" s="87" t="n">
        <f aca="false">IFERROR('🏬 L2 Dept OKRs'!J7,"")</f>
        <v>0.7</v>
      </c>
      <c r="G21" s="88" t="n">
        <f aca="false">IFERROR('🏬 L2 Dept OKRs'!M7,"")</f>
        <v>70</v>
      </c>
      <c r="H21" s="67" t="str">
        <f aca="false">IFERROR('🏬 L2 Dept OKRs'!N7,"")</f>
        <v>🟢 On Track</v>
      </c>
      <c r="I21" s="67" t="str">
        <f aca="false">IFERROR('🏬 L2 Dept OKRs'!F7,"")</f>
        <v>Committed</v>
      </c>
      <c r="J21" s="67" t="str">
        <f aca="false">IFERROR('🏬 L2 Dept OKRs'!Q7,"")</f>
        <v>Q3 2026</v>
      </c>
      <c r="K21" s="67" t="str">
        <f aca="false">IFERROR('🏬 L2 Dept OKRs'!U7,"")</f>
        <v>14 live, 6 remaining</v>
      </c>
      <c r="L21" s="1"/>
      <c r="M21" s="1"/>
      <c r="N21" s="1"/>
      <c r="O21" s="1"/>
      <c r="P21" s="1"/>
    </row>
    <row r="22" customFormat="false" ht="37.5" hidden="false" customHeight="true" outlineLevel="0" collapsed="false">
      <c r="A22" s="1"/>
      <c r="B22" s="92" t="s">
        <v>429</v>
      </c>
      <c r="C22" s="66" t="str">
        <f aca="false">IF('🏬 L2 Dept OKRs'!C8="","",'🏬 L2 Dept OKRs'!C8)</f>
        <v/>
      </c>
      <c r="D22" s="66" t="str">
        <f aca="false">IF('🏬 L2 Dept OKRs'!D8="","",'🏬 L2 Dept OKRs'!D8)</f>
        <v>Achieve 4.5+ star avg on tool quality rating</v>
      </c>
      <c r="E22" s="66" t="str">
        <f aca="false">IF('🏬 L2 Dept OKRs'!E8="","",'🏬 L2 Dept OKRs'!E8)</f>
        <v>CPO</v>
      </c>
      <c r="F22" s="89" t="n">
        <f aca="false">IFERROR('🏬 L2 Dept OKRs'!J8,"")</f>
        <v>0</v>
      </c>
      <c r="G22" s="90" t="n">
        <f aca="false">IFERROR('🏬 L2 Dept OKRs'!M8,"")</f>
        <v>0</v>
      </c>
      <c r="H22" s="66" t="str">
        <f aca="false">IFERROR('🏬 L2 Dept OKRs'!N8,"")</f>
        <v>🔴 Off Track</v>
      </c>
      <c r="I22" s="66" t="str">
        <f aca="false">IFERROR('🏬 L2 Dept OKRs'!F8,"")</f>
        <v>Aspirational</v>
      </c>
      <c r="J22" s="66" t="str">
        <f aca="false">IFERROR('🏬 L2 Dept OKRs'!Q8,"")</f>
        <v>Q3 2026</v>
      </c>
      <c r="K22" s="66" t="str">
        <f aca="false">IFERROR('🏬 L2 Dept OKRs'!U8,"")</f>
        <v>After beta launch</v>
      </c>
      <c r="L22" s="1"/>
      <c r="M22" s="1"/>
      <c r="N22" s="1"/>
      <c r="O22" s="1"/>
      <c r="P22" s="1"/>
    </row>
    <row r="23" customFormat="false" ht="37.5" hidden="false" customHeight="true" outlineLevel="0" collapsed="false">
      <c r="A23" s="1"/>
      <c r="B23" s="92" t="s">
        <v>429</v>
      </c>
      <c r="C23" s="67" t="str">
        <f aca="false">IF('🏬 L2 Dept OKRs'!C9="","",'🏬 L2 Dept OKRs'!C9)</f>
        <v>Growth: Build a repeatable acquisition engine for HR professionals</v>
      </c>
      <c r="D23" s="67" t="str">
        <f aca="false">IF('🏬 L2 Dept OKRs'!D9="","",'🏬 L2 Dept OKRs'!D9)</f>
        <v>Launch 15-post LinkedIn campaign on Day 1 of Gumroad activation</v>
      </c>
      <c r="E23" s="67" t="str">
        <f aca="false">IF('🏬 L2 Dept OKRs'!E9="","",'🏬 L2 Dept OKRs'!E9)</f>
        <v>CMO</v>
      </c>
      <c r="F23" s="87" t="n">
        <f aca="false">IFERROR('🏬 L2 Dept OKRs'!J9,"")</f>
        <v>0</v>
      </c>
      <c r="G23" s="88" t="n">
        <f aca="false">IFERROR('🏬 L2 Dept OKRs'!M9,"")</f>
        <v>0</v>
      </c>
      <c r="H23" s="67" t="str">
        <f aca="false">IFERROR('🏬 L2 Dept OKRs'!N9,"")</f>
        <v>🔴 Off Track</v>
      </c>
      <c r="I23" s="67" t="str">
        <f aca="false">IFERROR('🏬 L2 Dept OKRs'!F9,"")</f>
        <v>Committed</v>
      </c>
      <c r="J23" s="67" t="str">
        <f aca="false">IFERROR('🏬 L2 Dept OKRs'!Q9,"")</f>
        <v>Q3 2026</v>
      </c>
      <c r="K23" s="67" t="str">
        <f aca="false">IFERROR('🏬 L2 Dept OKRs'!U9,"")</f>
        <v>Campaign written, not launched</v>
      </c>
      <c r="L23" s="1"/>
      <c r="M23" s="1"/>
      <c r="N23" s="1"/>
      <c r="O23" s="1"/>
      <c r="P23" s="1"/>
    </row>
    <row r="24" customFormat="false" ht="37.5" hidden="false" customHeight="true" outlineLevel="0" collapsed="false">
      <c r="A24" s="1"/>
      <c r="B24" s="92" t="s">
        <v>429</v>
      </c>
      <c r="C24" s="66" t="str">
        <f aca="false">IF('🏬 L2 Dept OKRs'!C10="","",'🏬 L2 Dept OKRs'!C10)</f>
        <v/>
      </c>
      <c r="D24" s="66" t="str">
        <f aca="false">IF('🏬 L2 Dept OKRs'!D10="","",'🏬 L2 Dept OKRs'!D10)</f>
        <v>Achieve 500 email signups in first 30 days post-launch</v>
      </c>
      <c r="E24" s="66" t="str">
        <f aca="false">IF('🏬 L2 Dept OKRs'!E10="","",'🏬 L2 Dept OKRs'!E10)</f>
        <v>CMO</v>
      </c>
      <c r="F24" s="89" t="n">
        <f aca="false">IFERROR('🏬 L2 Dept OKRs'!J10,"")</f>
        <v>0</v>
      </c>
      <c r="G24" s="90" t="n">
        <f aca="false">IFERROR('🏬 L2 Dept OKRs'!M10,"")</f>
        <v>0</v>
      </c>
      <c r="H24" s="66" t="str">
        <f aca="false">IFERROR('🏬 L2 Dept OKRs'!N10,"")</f>
        <v>🔴 Off Track</v>
      </c>
      <c r="I24" s="66" t="str">
        <f aca="false">IFERROR('🏬 L2 Dept OKRs'!F10,"")</f>
        <v>Aspirational</v>
      </c>
      <c r="J24" s="66" t="str">
        <f aca="false">IFERROR('🏬 L2 Dept OKRs'!Q10,"")</f>
        <v>Q3 2026</v>
      </c>
      <c r="K24" s="66" t="str">
        <f aca="false">IFERROR('🏬 L2 Dept OKRs'!U10,"")</f>
        <v>After payments live</v>
      </c>
      <c r="L24" s="1"/>
      <c r="M24" s="1"/>
      <c r="N24" s="1"/>
      <c r="O24" s="1"/>
      <c r="P24" s="1"/>
    </row>
    <row r="25" customFormat="false" ht="37.5" hidden="false" customHeight="true" outlineLevel="0" collapsed="false">
      <c r="A25" s="1"/>
      <c r="B25" s="92" t="s">
        <v>429</v>
      </c>
      <c r="C25" s="67" t="str">
        <f aca="false">IF('🏬 L2 Dept OKRs'!C11="","",'🏬 L2 Dept OKRs'!C11)</f>
        <v/>
      </c>
      <c r="D25" s="67" t="str">
        <f aca="false">IF('🏬 L2 Dept OKRs'!D11="","",'🏬 L2 Dept OKRs'!D11)</f>
        <v>Get featured in 3 HR newsletters or communities</v>
      </c>
      <c r="E25" s="67" t="str">
        <f aca="false">IF('🏬 L2 Dept OKRs'!E11="","",'🏬 L2 Dept OKRs'!E11)</f>
        <v>CMO</v>
      </c>
      <c r="F25" s="87" t="n">
        <f aca="false">IFERROR('🏬 L2 Dept OKRs'!J11,"")</f>
        <v>0</v>
      </c>
      <c r="G25" s="88" t="n">
        <f aca="false">IFERROR('🏬 L2 Dept OKRs'!M11,"")</f>
        <v>0</v>
      </c>
      <c r="H25" s="67" t="str">
        <f aca="false">IFERROR('🏬 L2 Dept OKRs'!N11,"")</f>
        <v>🔴 Off Track</v>
      </c>
      <c r="I25" s="67" t="str">
        <f aca="false">IFERROR('🏬 L2 Dept OKRs'!F11,"")</f>
        <v>Aspirational</v>
      </c>
      <c r="J25" s="67" t="str">
        <f aca="false">IFERROR('🏬 L2 Dept OKRs'!Q11,"")</f>
        <v>Q3 2026</v>
      </c>
      <c r="K25" s="67" t="str">
        <f aca="false">IFERROR('🏬 L2 Dept OKRs'!U11,"")</f>
        <v>Identify top 10 HR newsletters</v>
      </c>
      <c r="L25" s="1"/>
      <c r="M25" s="1"/>
      <c r="N25" s="1"/>
      <c r="O25" s="1"/>
      <c r="P25" s="1"/>
    </row>
    <row r="26" customFormat="false" ht="37.5" hidden="false" customHeight="true" outlineLevel="0" collapsed="false">
      <c r="A26" s="1"/>
      <c r="B26" s="92" t="s">
        <v>429</v>
      </c>
      <c r="C26" s="66" t="str">
        <f aca="false">IF('🏬 L2 Dept OKRs'!C12="","",'🏬 L2 Dept OKRs'!C12)</f>
        <v/>
      </c>
      <c r="D26" s="66" t="str">
        <f aca="false">IF('🏬 L2 Dept OKRs'!D12="","",'🏬 L2 Dept OKRs'!D12)</f>
        <v>Convert 10% of free users to Pro within 60 days</v>
      </c>
      <c r="E26" s="66" t="str">
        <f aca="false">IF('🏬 L2 Dept OKRs'!E12="","",'🏬 L2 Dept OKRs'!E12)</f>
        <v>CMO</v>
      </c>
      <c r="F26" s="89" t="n">
        <f aca="false">IFERROR('🏬 L2 Dept OKRs'!J12,"")</f>
        <v>0</v>
      </c>
      <c r="G26" s="90" t="n">
        <f aca="false">IFERROR('🏬 L2 Dept OKRs'!M12,"")</f>
        <v>0</v>
      </c>
      <c r="H26" s="66" t="str">
        <f aca="false">IFERROR('🏬 L2 Dept OKRs'!N12,"")</f>
        <v>🔴 Off Track</v>
      </c>
      <c r="I26" s="66" t="str">
        <f aca="false">IFERROR('🏬 L2 Dept OKRs'!F12,"")</f>
        <v>Aspirational</v>
      </c>
      <c r="J26" s="66" t="str">
        <f aca="false">IFERROR('🏬 L2 Dept OKRs'!Q12,"")</f>
        <v>Q3 2026</v>
      </c>
      <c r="K26" s="66" t="str">
        <f aca="false">IFERROR('🏬 L2 Dept OKRs'!U12,"")</f>
        <v>GA4 goal setup needed</v>
      </c>
      <c r="L26" s="1"/>
      <c r="M26" s="1"/>
      <c r="N26" s="1"/>
      <c r="O26" s="1"/>
      <c r="P26" s="1"/>
    </row>
    <row r="27" customFormat="false" ht="37.5" hidden="false" customHeight="true" outlineLevel="0" collapsed="false">
      <c r="A27" s="1"/>
      <c r="B27" s="92" t="s">
        <v>429</v>
      </c>
      <c r="C27" s="67" t="str">
        <f aca="false">IF('🏬 L2 Dept OKRs'!C13="","",'🏬 L2 Dept OKRs'!C13)</f>
        <v>People &amp; Culture: Build a culture of learning and radical transparency</v>
      </c>
      <c r="D27" s="67" t="str">
        <f aca="false">IF('🏬 L2 Dept OKRs'!D13="","",'🏬 L2 Dept OKRs'!D13)</f>
        <v>Complete all-hands OKR review every 2 weeks</v>
      </c>
      <c r="E27" s="67" t="str">
        <f aca="false">IF('🏬 L2 Dept OKRs'!E13="","",'🏬 L2 Dept OKRs'!E13)</f>
        <v>CHRO</v>
      </c>
      <c r="F27" s="87" t="n">
        <f aca="false">IFERROR('🏬 L2 Dept OKRs'!J13,"")</f>
        <v>0</v>
      </c>
      <c r="G27" s="88" t="n">
        <f aca="false">IFERROR('🏬 L2 Dept OKRs'!M13,"")</f>
        <v>0</v>
      </c>
      <c r="H27" s="67" t="str">
        <f aca="false">IFERROR('🏬 L2 Dept OKRs'!N13,"")</f>
        <v>🔴 Off Track</v>
      </c>
      <c r="I27" s="67" t="str">
        <f aca="false">IFERROR('🏬 L2 Dept OKRs'!F13,"")</f>
        <v>Committed</v>
      </c>
      <c r="J27" s="67" t="str">
        <f aca="false">IFERROR('🏬 L2 Dept OKRs'!Q13,"")</f>
        <v>Q3 2026</v>
      </c>
      <c r="K27" s="67" t="str">
        <f aca="false">IFERROR('🏬 L2 Dept OKRs'!U13,"")</f>
        <v>6 bi-weekly sessions per quarter</v>
      </c>
      <c r="L27" s="1"/>
      <c r="M27" s="1"/>
      <c r="N27" s="1"/>
      <c r="O27" s="1"/>
      <c r="P27" s="1"/>
    </row>
    <row r="28" customFormat="false" ht="37.5" hidden="false" customHeight="true" outlineLevel="0" collapsed="false">
      <c r="A28" s="1"/>
      <c r="B28" s="92" t="s">
        <v>429</v>
      </c>
      <c r="C28" s="66" t="str">
        <f aca="false">IF('🏬 L2 Dept OKRs'!C14="","",'🏬 L2 Dept OKRs'!C14)</f>
        <v/>
      </c>
      <c r="D28" s="66" t="str">
        <f aca="false">IF('🏬 L2 Dept OKRs'!D14="","",'🏬 L2 Dept OKRs'!D14)</f>
        <v>100% of team has individual OKRs linked to company objectives</v>
      </c>
      <c r="E28" s="66" t="str">
        <f aca="false">IF('🏬 L2 Dept OKRs'!E14="","",'🏬 L2 Dept OKRs'!E14)</f>
        <v>CHRO</v>
      </c>
      <c r="F28" s="89" t="n">
        <f aca="false">IFERROR('🏬 L2 Dept OKRs'!J14,"")</f>
        <v>0.6</v>
      </c>
      <c r="G28" s="90" t="n">
        <f aca="false">IFERROR('🏬 L2 Dept OKRs'!M14,"")</f>
        <v>60</v>
      </c>
      <c r="H28" s="66" t="str">
        <f aca="false">IFERROR('🏬 L2 Dept OKRs'!N14,"")</f>
        <v>🟡 At Risk</v>
      </c>
      <c r="I28" s="66" t="str">
        <f aca="false">IFERROR('🏬 L2 Dept OKRs'!F14,"")</f>
        <v>Committed</v>
      </c>
      <c r="J28" s="66" t="str">
        <f aca="false">IFERROR('🏬 L2 Dept OKRs'!Q14,"")</f>
        <v>Q3 2026</v>
      </c>
      <c r="K28" s="66" t="str">
        <f aca="false">IFERROR('🏬 L2 Dept OKRs'!U14,"")</f>
        <v>60% done — L4 sheet in progress</v>
      </c>
      <c r="L28" s="1"/>
      <c r="M28" s="1"/>
      <c r="N28" s="1"/>
      <c r="O28" s="1"/>
      <c r="P28" s="1"/>
    </row>
    <row r="29" customFormat="false" ht="37.5" hidden="false" customHeight="true" outlineLevel="0" collapsed="false">
      <c r="A29" s="1"/>
      <c r="B29" s="92" t="s">
        <v>429</v>
      </c>
      <c r="C29" s="67" t="str">
        <f aca="false">IF('🏬 L2 Dept OKRs'!C15="","",'🏬 L2 Dept OKRs'!C15)</f>
        <v/>
      </c>
      <c r="D29" s="67" t="str">
        <f aca="false">IF('🏬 L2 Dept OKRs'!D15="","",'🏬 L2 Dept OKRs'!D15)</f>
        <v>Implement anonymous pulse survey with &gt; 80% participation</v>
      </c>
      <c r="E29" s="67" t="str">
        <f aca="false">IF('🏬 L2 Dept OKRs'!E15="","",'🏬 L2 Dept OKRs'!E15)</f>
        <v>CHRO</v>
      </c>
      <c r="F29" s="87" t="n">
        <f aca="false">IFERROR('🏬 L2 Dept OKRs'!J15,"")</f>
        <v>0</v>
      </c>
      <c r="G29" s="88" t="n">
        <f aca="false">IFERROR('🏬 L2 Dept OKRs'!M15,"")</f>
        <v>0</v>
      </c>
      <c r="H29" s="67" t="str">
        <f aca="false">IFERROR('🏬 L2 Dept OKRs'!N15,"")</f>
        <v>🔴 Off Track</v>
      </c>
      <c r="I29" s="67" t="str">
        <f aca="false">IFERROR('🏬 L2 Dept OKRs'!F15,"")</f>
        <v>Aspirational</v>
      </c>
      <c r="J29" s="67" t="str">
        <f aca="false">IFERROR('🏬 L2 Dept OKRs'!Q15,"")</f>
        <v>Q3 2026</v>
      </c>
      <c r="K29" s="67" t="str">
        <f aca="false">IFERROR('🏬 L2 Dept OKRs'!U15,"")</f>
        <v>Post-launch priority</v>
      </c>
      <c r="L29" s="1"/>
      <c r="M29" s="1"/>
      <c r="N29" s="1"/>
      <c r="O29" s="1"/>
      <c r="P29" s="1"/>
    </row>
    <row r="30" customFormat="false" ht="37.5" hidden="false" customHeight="true" outlineLevel="0" collapsed="false">
      <c r="A30" s="1"/>
      <c r="B30" s="92" t="s">
        <v>429</v>
      </c>
      <c r="C30" s="66" t="str">
        <f aca="false">IF('🏬 L2 Dept OKRs'!C16="","",'🏬 L2 Dept OKRs'!C16)</f>
        <v/>
      </c>
      <c r="D30" s="66" t="str">
        <f aca="false">IF('🏬 L2 Dept OKRs'!D16="","",'🏬 L2 Dept OKRs'!D16)</f>
        <v/>
      </c>
      <c r="E30" s="66" t="str">
        <f aca="false">IF('🏬 L2 Dept OKRs'!E16="","",'🏬 L2 Dept OKRs'!E16)</f>
        <v/>
      </c>
      <c r="F30" s="89" t="n">
        <f aca="false">IFERROR('🏬 L2 Dept OKRs'!J16,"")</f>
        <v>0</v>
      </c>
      <c r="G30" s="90" t="n">
        <f aca="false">IFERROR('🏬 L2 Dept OKRs'!M16,"")</f>
        <v>0</v>
      </c>
      <c r="H30" s="66" t="n">
        <f aca="false">IFERROR('🏬 L2 Dept OKRs'!N16,"")</f>
        <v>0</v>
      </c>
      <c r="I30" s="66" t="n">
        <f aca="false">IFERROR('🏬 L2 Dept OKRs'!F16,"")</f>
        <v>0</v>
      </c>
      <c r="J30" s="66" t="n">
        <f aca="false">IFERROR('🏬 L2 Dept OKRs'!Q16,"")</f>
        <v>0</v>
      </c>
      <c r="K30" s="66" t="n">
        <f aca="false">IFERROR('🏬 L2 Dept OKRs'!U16,"")</f>
        <v>0</v>
      </c>
      <c r="L30" s="1"/>
      <c r="M30" s="1"/>
      <c r="N30" s="1"/>
      <c r="O30" s="1"/>
      <c r="P30" s="1"/>
    </row>
    <row r="31" customFormat="false" ht="37.5" hidden="false" customHeight="true" outlineLevel="0" collapsed="false">
      <c r="A31" s="1"/>
      <c r="B31" s="92" t="s">
        <v>429</v>
      </c>
      <c r="C31" s="67" t="str">
        <f aca="false">IF('🏬 L2 Dept OKRs'!C17="","",'🏬 L2 Dept OKRs'!C17)</f>
        <v/>
      </c>
      <c r="D31" s="67" t="str">
        <f aca="false">IF('🏬 L2 Dept OKRs'!D17="","",'🏬 L2 Dept OKRs'!D17)</f>
        <v/>
      </c>
      <c r="E31" s="67" t="str">
        <f aca="false">IF('🏬 L2 Dept OKRs'!E17="","",'🏬 L2 Dept OKRs'!E17)</f>
        <v/>
      </c>
      <c r="F31" s="87" t="str">
        <f aca="false">IFERROR('🏬 L2 Dept OKRs'!J17,"")</f>
        <v>On Track KRs</v>
      </c>
      <c r="G31" s="88" t="n">
        <f aca="false">IFERROR('🏬 L2 Dept OKRs'!M17,"")</f>
        <v>1</v>
      </c>
      <c r="H31" s="67" t="str">
        <f aca="false">IFERROR('🏬 L2 Dept OKRs'!N17,"")</f>
        <v>Off Track KRs</v>
      </c>
      <c r="I31" s="67" t="str">
        <f aca="false">IFERROR('🏬 L2 Dept OKRs'!F17,"")</f>
        <v>Avg Google Score</v>
      </c>
      <c r="J31" s="67" t="n">
        <f aca="false">IFERROR('🏬 L2 Dept OKRs'!Q17,"")</f>
        <v>0</v>
      </c>
      <c r="K31" s="67" t="n">
        <f aca="false">IFERROR('🏬 L2 Dept OKRs'!U17,"")</f>
        <v>0</v>
      </c>
      <c r="L31" s="1"/>
      <c r="M31" s="1"/>
      <c r="N31" s="1"/>
      <c r="O31" s="1"/>
      <c r="P31" s="1"/>
    </row>
    <row r="32" customFormat="false" ht="24" hidden="false" customHeight="true" outlineLevel="0" collapsed="false">
      <c r="A32" s="1"/>
      <c r="B32" s="93" t="s">
        <v>430</v>
      </c>
      <c r="C32" s="93"/>
      <c r="D32" s="93"/>
      <c r="E32" s="93"/>
      <c r="F32" s="93"/>
      <c r="G32" s="93"/>
      <c r="H32" s="93"/>
      <c r="I32" s="93"/>
      <c r="J32" s="93"/>
      <c r="K32" s="93"/>
      <c r="L32" s="1"/>
      <c r="M32" s="1"/>
      <c r="N32" s="1"/>
      <c r="O32" s="1"/>
      <c r="P32" s="1"/>
    </row>
    <row r="33" customFormat="false" ht="37.5" hidden="false" customHeight="true" outlineLevel="0" collapsed="false">
      <c r="A33" s="1"/>
      <c r="B33" s="94" t="s">
        <v>431</v>
      </c>
      <c r="C33" s="67" t="str">
        <f aca="false">IF('👥 L3 Team OKRs'!C5="","",'👥 L3 Team OKRs'!C5)</f>
        <v>Engineering: Ship reliable, fast, delightful platform features every sprint</v>
      </c>
      <c r="D33" s="67" t="str">
        <f aca="false">IF('👥 L3 Team OKRs'!D5="","",'👥 L3 Team OKRs'!D5)</f>
        <v>Zero critical bugs in production for 30 consecutive days</v>
      </c>
      <c r="E33" s="67" t="str">
        <f aca="false">IF('👥 L3 Team OKRs'!E5="","",'👥 L3 Team OKRs'!E5)</f>
        <v>Tech Lead</v>
      </c>
      <c r="F33" s="87" t="n">
        <f aca="false">IFERROR('👥 L3 Team OKRs'!J5,"")</f>
        <v>0</v>
      </c>
      <c r="G33" s="88" t="n">
        <f aca="false">IFERROR('👥 L3 Team OKRs'!M5,"")</f>
        <v>0</v>
      </c>
      <c r="H33" s="67" t="str">
        <f aca="false">IFERROR('👥 L3 Team OKRs'!N5,"")</f>
        <v>🔴 Off Track</v>
      </c>
      <c r="I33" s="67" t="str">
        <f aca="false">IFERROR('👥 L3 Team OKRs'!F5,"")</f>
        <v>Committed</v>
      </c>
      <c r="J33" s="67" t="str">
        <f aca="false">IFERROR('👥 L3 Team OKRs'!Q5,"")</f>
        <v>Q3 2026</v>
      </c>
      <c r="K33" s="67" t="str">
        <f aca="false">IFERROR('👥 L3 Team OKRs'!U5,"")</f>
        <v>Track on Notion</v>
      </c>
      <c r="L33" s="1"/>
      <c r="M33" s="1"/>
      <c r="N33" s="1"/>
      <c r="O33" s="1"/>
      <c r="P33" s="1"/>
    </row>
    <row r="34" customFormat="false" ht="37.5" hidden="false" customHeight="true" outlineLevel="0" collapsed="false">
      <c r="A34" s="1"/>
      <c r="B34" s="94" t="s">
        <v>431</v>
      </c>
      <c r="C34" s="66" t="str">
        <f aca="false">IF('👥 L3 Team OKRs'!C6="","",'👥 L3 Team OKRs'!C6)</f>
        <v/>
      </c>
      <c r="D34" s="66" t="str">
        <f aca="false">IF('👥 L3 Team OKRs'!D6="","",'👥 L3 Team OKRs'!D6)</f>
        <v>Deploy PDF export to Goal Lab + Bias Audit</v>
      </c>
      <c r="E34" s="66" t="str">
        <f aca="false">IF('👥 L3 Team OKRs'!E6="","",'👥 L3 Team OKRs'!E6)</f>
        <v>Tech Lead</v>
      </c>
      <c r="F34" s="89" t="n">
        <f aca="false">IFERROR('👥 L3 Team OKRs'!J6,"")</f>
        <v>1</v>
      </c>
      <c r="G34" s="90" t="n">
        <f aca="false">IFERROR('👥 L3 Team OKRs'!M6,"")</f>
        <v>100</v>
      </c>
      <c r="H34" s="66" t="str">
        <f aca="false">IFERROR('👥 L3 Team OKRs'!N6,"")</f>
        <v>🏆 Supercharged</v>
      </c>
      <c r="I34" s="66" t="str">
        <f aca="false">IFERROR('👥 L3 Team OKRs'!F6,"")</f>
        <v>Committed</v>
      </c>
      <c r="J34" s="66" t="str">
        <f aca="false">IFERROR('👥 L3 Team OKRs'!Q6,"")</f>
        <v>Q3 2026</v>
      </c>
      <c r="K34" s="66" t="str">
        <f aca="false">IFERROR('👥 L3 Team OKRs'!U6,"")</f>
        <v>Completed ✅</v>
      </c>
      <c r="L34" s="1"/>
      <c r="M34" s="1"/>
      <c r="N34" s="1"/>
      <c r="O34" s="1"/>
      <c r="P34" s="1"/>
    </row>
    <row r="35" customFormat="false" ht="37.5" hidden="false" customHeight="true" outlineLevel="0" collapsed="false">
      <c r="A35" s="1"/>
      <c r="B35" s="94" t="s">
        <v>431</v>
      </c>
      <c r="C35" s="67" t="str">
        <f aca="false">IF('👥 L3 Team OKRs'!C7="","",'👥 L3 Team OKRs'!C7)</f>
        <v/>
      </c>
      <c r="D35" s="67" t="str">
        <f aca="false">IF('👥 L3 Team OKRs'!D7="","",'👥 L3 Team OKRs'!D7)</f>
        <v>Implement 3D Talent Galaxy on landing page</v>
      </c>
      <c r="E35" s="67" t="str">
        <f aca="false">IF('👥 L3 Team OKRs'!E7="","",'👥 L3 Team OKRs'!E7)</f>
        <v>Tech Lead</v>
      </c>
      <c r="F35" s="87" t="n">
        <f aca="false">IFERROR('👥 L3 Team OKRs'!J7,"")</f>
        <v>1</v>
      </c>
      <c r="G35" s="88" t="n">
        <f aca="false">IFERROR('👥 L3 Team OKRs'!M7,"")</f>
        <v>100</v>
      </c>
      <c r="H35" s="67" t="str">
        <f aca="false">IFERROR('👥 L3 Team OKRs'!N7,"")</f>
        <v>🏆 Supercharged</v>
      </c>
      <c r="I35" s="67" t="str">
        <f aca="false">IFERROR('👥 L3 Team OKRs'!F7,"")</f>
        <v>Committed</v>
      </c>
      <c r="J35" s="67" t="str">
        <f aca="false">IFERROR('👥 L3 Team OKRs'!Q7,"")</f>
        <v>Q3 2026</v>
      </c>
      <c r="K35" s="67" t="str">
        <f aca="false">IFERROR('👥 L3 Team OKRs'!U7,"")</f>
        <v>Completed ✅</v>
      </c>
      <c r="L35" s="1"/>
      <c r="M35" s="1"/>
      <c r="N35" s="1"/>
      <c r="O35" s="1"/>
      <c r="P35" s="1"/>
    </row>
    <row r="36" customFormat="false" ht="37.5" hidden="false" customHeight="true" outlineLevel="0" collapsed="false">
      <c r="A36" s="1"/>
      <c r="B36" s="94" t="s">
        <v>431</v>
      </c>
      <c r="C36" s="66" t="str">
        <f aca="false">IF('👥 L3 Team OKRs'!C8="","",'👥 L3 Team OKRs'!C8)</f>
        <v/>
      </c>
      <c r="D36" s="66" t="str">
        <f aca="false">IF('👥 L3 Team OKRs'!D8="","",'👥 L3 Team OKRs'!D8)</f>
        <v>Achieve 95%+ uptime on Cloudflare Worker AI endpoint</v>
      </c>
      <c r="E36" s="66" t="str">
        <f aca="false">IF('👥 L3 Team OKRs'!E8="","",'👥 L3 Team OKRs'!E8)</f>
        <v>Tech Lead</v>
      </c>
      <c r="F36" s="89" t="n">
        <f aca="false">IFERROR('👥 L3 Team OKRs'!J8,"")</f>
        <v>0</v>
      </c>
      <c r="G36" s="90" t="n">
        <f aca="false">IFERROR('👥 L3 Team OKRs'!M8,"")</f>
        <v>0</v>
      </c>
      <c r="H36" s="66" t="str">
        <f aca="false">IFERROR('👥 L3 Team OKRs'!N8,"")</f>
        <v>🔴 Off Track</v>
      </c>
      <c r="I36" s="66" t="str">
        <f aca="false">IFERROR('👥 L3 Team OKRs'!F8,"")</f>
        <v>Committed</v>
      </c>
      <c r="J36" s="66" t="str">
        <f aca="false">IFERROR('👥 L3 Team OKRs'!Q8,"")</f>
        <v>Q3 2026</v>
      </c>
      <c r="K36" s="66" t="str">
        <f aca="false">IFERROR('👥 L3 Team OKRs'!U8,"")</f>
        <v>Track via CF dashboard</v>
      </c>
      <c r="L36" s="1"/>
      <c r="M36" s="1"/>
      <c r="N36" s="1"/>
      <c r="O36" s="1"/>
      <c r="P36" s="1"/>
    </row>
    <row r="37" customFormat="false" ht="37.5" hidden="false" customHeight="true" outlineLevel="0" collapsed="false">
      <c r="A37" s="1"/>
      <c r="B37" s="94" t="s">
        <v>431</v>
      </c>
      <c r="C37" s="67" t="str">
        <f aca="false">IF('👥 L3 Team OKRs'!C9="","",'👥 L3 Team OKRs'!C9)</f>
        <v>Marketing: Create content that makes HR professionals stop scrolling</v>
      </c>
      <c r="D37" s="67" t="str">
        <f aca="false">IF('👥 L3 Team OKRs'!D9="","",'👥 L3 Team OKRs'!D9)</f>
        <v>Write 15 LinkedIn posts for Day-1 campaign</v>
      </c>
      <c r="E37" s="67" t="str">
        <f aca="false">IF('👥 L3 Team OKRs'!E9="","",'👥 L3 Team OKRs'!E9)</f>
        <v>Growth Lead</v>
      </c>
      <c r="F37" s="87" t="n">
        <f aca="false">IFERROR('👥 L3 Team OKRs'!J9,"")</f>
        <v>1</v>
      </c>
      <c r="G37" s="88" t="n">
        <f aca="false">IFERROR('👥 L3 Team OKRs'!M9,"")</f>
        <v>100</v>
      </c>
      <c r="H37" s="67" t="str">
        <f aca="false">IFERROR('👥 L3 Team OKRs'!N9,"")</f>
        <v>🏆 Supercharged</v>
      </c>
      <c r="I37" s="67" t="str">
        <f aca="false">IFERROR('👥 L3 Team OKRs'!F9,"")</f>
        <v>Committed</v>
      </c>
      <c r="J37" s="67" t="str">
        <f aca="false">IFERROR('👥 L3 Team OKRs'!Q9,"")</f>
        <v>Q3 2026</v>
      </c>
      <c r="K37" s="67" t="str">
        <f aca="false">IFERROR('👥 L3 Team OKRs'!U9,"")</f>
        <v>Completed ✅</v>
      </c>
      <c r="L37" s="1"/>
      <c r="M37" s="1"/>
      <c r="N37" s="1"/>
      <c r="O37" s="1"/>
      <c r="P37" s="1"/>
    </row>
    <row r="38" customFormat="false" ht="37.5" hidden="false" customHeight="true" outlineLevel="0" collapsed="false">
      <c r="A38" s="1"/>
      <c r="B38" s="94" t="s">
        <v>431</v>
      </c>
      <c r="C38" s="66" t="str">
        <f aca="false">IF('👥 L3 Team OKRs'!C10="","",'👥 L3 Team OKRs'!C10)</f>
        <v/>
      </c>
      <c r="D38" s="66" t="str">
        <f aca="false">IF('👥 L3 Team OKRs'!D10="","",'👥 L3 Team OKRs'!D10)</f>
        <v>Create 5 carousel posts showing Spatial 9-Box wow-factor</v>
      </c>
      <c r="E38" s="66" t="str">
        <f aca="false">IF('👥 L3 Team OKRs'!E10="","",'👥 L3 Team OKRs'!E10)</f>
        <v>Growth Lead</v>
      </c>
      <c r="F38" s="89" t="n">
        <f aca="false">IFERROR('👥 L3 Team OKRs'!J10,"")</f>
        <v>0</v>
      </c>
      <c r="G38" s="90" t="n">
        <f aca="false">IFERROR('👥 L3 Team OKRs'!M10,"")</f>
        <v>0</v>
      </c>
      <c r="H38" s="66" t="str">
        <f aca="false">IFERROR('👥 L3 Team OKRs'!N10,"")</f>
        <v>🔴 Off Track</v>
      </c>
      <c r="I38" s="66" t="str">
        <f aca="false">IFERROR('👥 L3 Team OKRs'!F10,"")</f>
        <v>Aspirational</v>
      </c>
      <c r="J38" s="66" t="str">
        <f aca="false">IFERROR('👥 L3 Team OKRs'!Q10,"")</f>
        <v>Q3 2026</v>
      </c>
      <c r="K38" s="66" t="str">
        <f aca="false">IFERROR('👥 L3 Team OKRs'!U10,"")</f>
        <v>Screenshots from platform</v>
      </c>
      <c r="L38" s="1"/>
      <c r="M38" s="1"/>
      <c r="N38" s="1"/>
      <c r="O38" s="1"/>
      <c r="P38" s="1"/>
    </row>
    <row r="39" customFormat="false" ht="37.5" hidden="false" customHeight="true" outlineLevel="0" collapsed="false">
      <c r="A39" s="1"/>
      <c r="B39" s="94" t="s">
        <v>431</v>
      </c>
      <c r="C39" s="67" t="str">
        <f aca="false">IF('👥 L3 Team OKRs'!C11="","",'👥 L3 Team OKRs'!C11)</f>
        <v/>
      </c>
      <c r="D39" s="67" t="str">
        <f aca="false">IF('👥 L3 Team OKRs'!D11="","",'👥 L3 Team OKRs'!D11)</f>
        <v>Identify and reach out to 10 HR newsletter editors</v>
      </c>
      <c r="E39" s="67" t="str">
        <f aca="false">IF('👥 L3 Team OKRs'!E11="","",'👥 L3 Team OKRs'!E11)</f>
        <v>Growth Lead</v>
      </c>
      <c r="F39" s="87" t="n">
        <f aca="false">IFERROR('👥 L3 Team OKRs'!J11,"")</f>
        <v>0</v>
      </c>
      <c r="G39" s="88" t="n">
        <f aca="false">IFERROR('👥 L3 Team OKRs'!M11,"")</f>
        <v>0</v>
      </c>
      <c r="H39" s="67" t="str">
        <f aca="false">IFERROR('👥 L3 Team OKRs'!N11,"")</f>
        <v>🔴 Off Track</v>
      </c>
      <c r="I39" s="67" t="str">
        <f aca="false">IFERROR('👥 L3 Team OKRs'!F11,"")</f>
        <v>Aspirational</v>
      </c>
      <c r="J39" s="67" t="str">
        <f aca="false">IFERROR('👥 L3 Team OKRs'!Q11,"")</f>
        <v>Q3 2026</v>
      </c>
      <c r="K39" s="67" t="str">
        <f aca="false">IFERROR('👥 L3 Team OKRs'!U11,"")</f>
        <v>Research phase</v>
      </c>
      <c r="L39" s="1"/>
      <c r="M39" s="1"/>
      <c r="N39" s="1"/>
      <c r="O39" s="1"/>
      <c r="P39" s="1"/>
    </row>
    <row r="40" customFormat="false" ht="37.5" hidden="false" customHeight="true" outlineLevel="0" collapsed="false">
      <c r="A40" s="1"/>
      <c r="B40" s="94" t="s">
        <v>431</v>
      </c>
      <c r="C40" s="66" t="str">
        <f aca="false">IF('👥 L3 Team OKRs'!C12="","",'👥 L3 Team OKRs'!C12)</f>
        <v/>
      </c>
      <c r="D40" s="66" t="str">
        <f aca="false">IF('👥 L3 Team OKRs'!D12="","",'👥 L3 Team OKRs'!D12)</f>
        <v>Build a demo video of full platform walkthrough</v>
      </c>
      <c r="E40" s="66" t="str">
        <f aca="false">IF('👥 L3 Team OKRs'!E12="","",'👥 L3 Team OKRs'!E12)</f>
        <v>Growth Lead</v>
      </c>
      <c r="F40" s="89" t="n">
        <f aca="false">IFERROR('👥 L3 Team OKRs'!J12,"")</f>
        <v>0</v>
      </c>
      <c r="G40" s="90" t="n">
        <f aca="false">IFERROR('👥 L3 Team OKRs'!M12,"")</f>
        <v>0</v>
      </c>
      <c r="H40" s="66" t="str">
        <f aca="false">IFERROR('👥 L3 Team OKRs'!N12,"")</f>
        <v>🔴 Off Track</v>
      </c>
      <c r="I40" s="66" t="str">
        <f aca="false">IFERROR('👥 L3 Team OKRs'!F12,"")</f>
        <v>Aspirational</v>
      </c>
      <c r="J40" s="66" t="str">
        <f aca="false">IFERROR('👥 L3 Team OKRs'!Q12,"")</f>
        <v>Q3 2026</v>
      </c>
      <c r="K40" s="66" t="str">
        <f aca="false">IFERROR('👥 L3 Team OKRs'!U12,"")</f>
        <v>&lt; 3 min walk-through</v>
      </c>
      <c r="L40" s="1"/>
      <c r="M40" s="1"/>
      <c r="N40" s="1"/>
      <c r="O40" s="1"/>
      <c r="P40" s="1"/>
    </row>
    <row r="41" customFormat="false" ht="37.5" hidden="false" customHeight="true" outlineLevel="0" collapsed="false">
      <c r="A41" s="1"/>
      <c r="B41" s="94" t="s">
        <v>431</v>
      </c>
      <c r="C41" s="67" t="str">
        <f aca="false">IF('👥 L3 Team OKRs'!C13="","",'👥 L3 Team OKRs'!C13)</f>
        <v>Customer Success: Ensure every Pro user gets value in first 7 days</v>
      </c>
      <c r="D41" s="67" t="str">
        <f aca="false">IF('👥 L3 Team OKRs'!D13="","",'👥 L3 Team OKRs'!D13)</f>
        <v>Create onboarding email sequence (5 emails)</v>
      </c>
      <c r="E41" s="67" t="str">
        <f aca="false">IF('👥 L3 Team OKRs'!E13="","",'👥 L3 Team OKRs'!E13)</f>
        <v>CS Lead</v>
      </c>
      <c r="F41" s="87" t="n">
        <f aca="false">IFERROR('👥 L3 Team OKRs'!J13,"")</f>
        <v>0</v>
      </c>
      <c r="G41" s="88" t="n">
        <f aca="false">IFERROR('👥 L3 Team OKRs'!M13,"")</f>
        <v>0</v>
      </c>
      <c r="H41" s="67" t="str">
        <f aca="false">IFERROR('👥 L3 Team OKRs'!N13,"")</f>
        <v>🔴 Off Track</v>
      </c>
      <c r="I41" s="67" t="str">
        <f aca="false">IFERROR('👥 L3 Team OKRs'!F13,"")</f>
        <v>Committed</v>
      </c>
      <c r="J41" s="67" t="str">
        <f aca="false">IFERROR('👥 L3 Team OKRs'!Q13,"")</f>
        <v>Q3 2026</v>
      </c>
      <c r="K41" s="67" t="str">
        <f aca="false">IFERROR('👥 L3 Team OKRs'!U13,"")</f>
        <v>After payments live</v>
      </c>
      <c r="L41" s="1"/>
      <c r="M41" s="1"/>
      <c r="N41" s="1"/>
      <c r="O41" s="1"/>
      <c r="P41" s="1"/>
    </row>
    <row r="42" customFormat="false" ht="37.5" hidden="false" customHeight="true" outlineLevel="0" collapsed="false">
      <c r="A42" s="1"/>
      <c r="B42" s="94" t="s">
        <v>431</v>
      </c>
      <c r="C42" s="66" t="str">
        <f aca="false">IF('👥 L3 Team OKRs'!C14="","",'👥 L3 Team OKRs'!C14)</f>
        <v/>
      </c>
      <c r="D42" s="66" t="str">
        <f aca="false">IF('👥 L3 Team OKRs'!D14="","",'👥 L3 Team OKRs'!D14)</f>
        <v>Publish 10 help articles covering top user questions</v>
      </c>
      <c r="E42" s="66" t="str">
        <f aca="false">IF('👥 L3 Team OKRs'!E14="","",'👥 L3 Team OKRs'!E14)</f>
        <v>CS Lead</v>
      </c>
      <c r="F42" s="89" t="n">
        <f aca="false">IFERROR('👥 L3 Team OKRs'!J14,"")</f>
        <v>0</v>
      </c>
      <c r="G42" s="90" t="n">
        <f aca="false">IFERROR('👥 L3 Team OKRs'!M14,"")</f>
        <v>0</v>
      </c>
      <c r="H42" s="66" t="str">
        <f aca="false">IFERROR('👥 L3 Team OKRs'!N14,"")</f>
        <v>🔴 Off Track</v>
      </c>
      <c r="I42" s="66" t="str">
        <f aca="false">IFERROR('👥 L3 Team OKRs'!F14,"")</f>
        <v>Committed</v>
      </c>
      <c r="J42" s="66" t="str">
        <f aca="false">IFERROR('👥 L3 Team OKRs'!Q14,"")</f>
        <v>Q3 2026</v>
      </c>
      <c r="K42" s="66" t="str">
        <f aca="false">IFERROR('👥 L3 Team OKRs'!U14,"")</f>
        <v>Identify questions from beta testing</v>
      </c>
      <c r="L42" s="1"/>
      <c r="M42" s="1"/>
      <c r="N42" s="1"/>
      <c r="O42" s="1"/>
      <c r="P42" s="1"/>
    </row>
    <row r="43" customFormat="false" ht="37.5" hidden="false" customHeight="true" outlineLevel="0" collapsed="false">
      <c r="A43" s="1"/>
      <c r="B43" s="94" t="s">
        <v>431</v>
      </c>
      <c r="C43" s="67" t="str">
        <f aca="false">IF('👥 L3 Team OKRs'!C15="","",'👥 L3 Team OKRs'!C15)</f>
        <v/>
      </c>
      <c r="D43" s="67" t="str">
        <f aca="false">IF('👥 L3 Team OKRs'!D15="","",'👥 L3 Team OKRs'!D15)</f>
        <v>Achieve &lt; 24h first response time on support queries</v>
      </c>
      <c r="E43" s="67" t="str">
        <f aca="false">IF('👥 L3 Team OKRs'!E15="","",'👥 L3 Team OKRs'!E15)</f>
        <v>CS Lead</v>
      </c>
      <c r="F43" s="87" t="n">
        <f aca="false">IFERROR('👥 L3 Team OKRs'!J15,"")</f>
        <v>0</v>
      </c>
      <c r="G43" s="88" t="n">
        <f aca="false">IFERROR('👥 L3 Team OKRs'!M15,"")</f>
        <v>0</v>
      </c>
      <c r="H43" s="67" t="str">
        <f aca="false">IFERROR('👥 L3 Team OKRs'!N15,"")</f>
        <v>🔴 Off Track</v>
      </c>
      <c r="I43" s="67" t="str">
        <f aca="false">IFERROR('👥 L3 Team OKRs'!F15,"")</f>
        <v>Committed</v>
      </c>
      <c r="J43" s="67" t="str">
        <f aca="false">IFERROR('👥 L3 Team OKRs'!Q15,"")</f>
        <v>Q3 2026</v>
      </c>
      <c r="K43" s="67" t="str">
        <f aca="false">IFERROR('👥 L3 Team OKRs'!U15,"")</f>
        <v>Set up support inbox</v>
      </c>
      <c r="L43" s="1"/>
      <c r="M43" s="1"/>
      <c r="N43" s="1"/>
      <c r="O43" s="1"/>
      <c r="P43" s="1"/>
    </row>
    <row r="44" customFormat="false" ht="37.5" hidden="false" customHeight="true" outlineLevel="0" collapsed="false">
      <c r="A44" s="1"/>
      <c r="B44" s="94" t="s">
        <v>431</v>
      </c>
      <c r="C44" s="66" t="str">
        <f aca="false">IF('👥 L3 Team OKRs'!C16="","",'👥 L3 Team OKRs'!C16)</f>
        <v/>
      </c>
      <c r="D44" s="66" t="str">
        <f aca="false">IF('👥 L3 Team OKRs'!D16="","",'👥 L3 Team OKRs'!D16)</f>
        <v/>
      </c>
      <c r="E44" s="66" t="str">
        <f aca="false">IF('👥 L3 Team OKRs'!E16="","",'👥 L3 Team OKRs'!E16)</f>
        <v/>
      </c>
      <c r="F44" s="89" t="n">
        <f aca="false">IFERROR('👥 L3 Team OKRs'!J16,"")</f>
        <v>0</v>
      </c>
      <c r="G44" s="90" t="n">
        <f aca="false">IFERROR('👥 L3 Team OKRs'!M16,"")</f>
        <v>0</v>
      </c>
      <c r="H44" s="66" t="n">
        <f aca="false">IFERROR('👥 L3 Team OKRs'!N16,"")</f>
        <v>0</v>
      </c>
      <c r="I44" s="66" t="n">
        <f aca="false">IFERROR('👥 L3 Team OKRs'!F16,"")</f>
        <v>0</v>
      </c>
      <c r="J44" s="66" t="n">
        <f aca="false">IFERROR('👥 L3 Team OKRs'!Q16,"")</f>
        <v>0</v>
      </c>
      <c r="K44" s="66" t="n">
        <f aca="false">IFERROR('👥 L3 Team OKRs'!U16,"")</f>
        <v>0</v>
      </c>
      <c r="L44" s="1"/>
      <c r="M44" s="1"/>
      <c r="N44" s="1"/>
      <c r="O44" s="1"/>
      <c r="P44" s="1"/>
    </row>
    <row r="45" customFormat="false" ht="37.5" hidden="false" customHeight="true" outlineLevel="0" collapsed="false">
      <c r="A45" s="1"/>
      <c r="B45" s="94" t="s">
        <v>431</v>
      </c>
      <c r="C45" s="67" t="str">
        <f aca="false">IF('👥 L3 Team OKRs'!C17="","",'👥 L3 Team OKRs'!C17)</f>
        <v/>
      </c>
      <c r="D45" s="67" t="str">
        <f aca="false">IF('👥 L3 Team OKRs'!D17="","",'👥 L3 Team OKRs'!D17)</f>
        <v/>
      </c>
      <c r="E45" s="67" t="str">
        <f aca="false">IF('👥 L3 Team OKRs'!E17="","",'👥 L3 Team OKRs'!E17)</f>
        <v/>
      </c>
      <c r="F45" s="87" t="str">
        <f aca="false">IFERROR('👥 L3 Team OKRs'!J17,"")</f>
        <v>On Track KRs</v>
      </c>
      <c r="G45" s="88" t="n">
        <f aca="false">IFERROR('👥 L3 Team OKRs'!M17,"")</f>
        <v>0</v>
      </c>
      <c r="H45" s="67" t="str">
        <f aca="false">IFERROR('👥 L3 Team OKRs'!N17,"")</f>
        <v>Off Track KRs</v>
      </c>
      <c r="I45" s="67" t="str">
        <f aca="false">IFERROR('👥 L3 Team OKRs'!F17,"")</f>
        <v>Avg Google Score</v>
      </c>
      <c r="J45" s="67" t="n">
        <f aca="false">IFERROR('👥 L3 Team OKRs'!Q17,"")</f>
        <v>0</v>
      </c>
      <c r="K45" s="67" t="n">
        <f aca="false">IFERROR('👥 L3 Team OKRs'!U17,"")</f>
        <v>0</v>
      </c>
      <c r="L45" s="1"/>
      <c r="M45" s="1"/>
      <c r="N45" s="1"/>
      <c r="O45" s="1"/>
      <c r="P45" s="1"/>
    </row>
    <row r="46" customFormat="false" ht="24" hidden="false" customHeight="true" outlineLevel="0" collapsed="false">
      <c r="A46" s="1"/>
      <c r="B46" s="95" t="s">
        <v>432</v>
      </c>
      <c r="C46" s="95"/>
      <c r="D46" s="95"/>
      <c r="E46" s="95"/>
      <c r="F46" s="95"/>
      <c r="G46" s="95"/>
      <c r="H46" s="95"/>
      <c r="I46" s="95"/>
      <c r="J46" s="95"/>
      <c r="K46" s="95"/>
      <c r="L46" s="1"/>
      <c r="M46" s="1"/>
      <c r="N46" s="1"/>
      <c r="O46" s="1"/>
      <c r="P46" s="1"/>
    </row>
    <row r="47" customFormat="false" ht="37.5" hidden="false" customHeight="true" outlineLevel="0" collapsed="false">
      <c r="A47" s="1"/>
      <c r="B47" s="96" t="s">
        <v>433</v>
      </c>
      <c r="C47" s="67" t="str">
        <f aca="false">IF('👤 L4 Individual'!C5="","",'👤 L4 Individual'!C5)</f>
        <v>Vivek (Founder): Lead with clarity, speed, and product taste</v>
      </c>
      <c r="D47" s="67" t="str">
        <f aca="false">IF('👤 L4 Individual'!D5="","",'👤 L4 Individual'!D5)</f>
        <v>Ship 1 major product feature per week during Q3</v>
      </c>
      <c r="E47" s="67" t="str">
        <f aca="false">IF('👤 L4 Individual'!E5="","",'👤 L4 Individual'!E5)</f>
        <v>Vivek</v>
      </c>
      <c r="F47" s="87" t="n">
        <f aca="false">IFERROR('👤 L4 Individual'!J5,"")</f>
        <v>0.461538461538462</v>
      </c>
      <c r="G47" s="88" t="n">
        <f aca="false">IFERROR('👤 L4 Individual'!M5,"")</f>
        <v>46.1538461538462</v>
      </c>
      <c r="H47" s="67" t="str">
        <f aca="false">IFERROR('👤 L4 Individual'!N5,"")</f>
        <v>🟡 At Risk</v>
      </c>
      <c r="I47" s="67" t="str">
        <f aca="false">IFERROR('👤 L4 Individual'!F5,"")</f>
        <v>Committed</v>
      </c>
      <c r="J47" s="67" t="str">
        <f aca="false">IFERROR('👤 L4 Individual'!Q5,"")</f>
        <v>Q3 2026</v>
      </c>
      <c r="K47" s="67" t="str">
        <f aca="false">IFERROR('👤 L4 Individual'!U5,"")</f>
        <v>6 weeks of sessions done</v>
      </c>
      <c r="L47" s="1"/>
      <c r="M47" s="1"/>
      <c r="N47" s="1"/>
      <c r="O47" s="1"/>
      <c r="P47" s="1"/>
    </row>
    <row r="48" customFormat="false" ht="37.5" hidden="false" customHeight="true" outlineLevel="0" collapsed="false">
      <c r="A48" s="1"/>
      <c r="B48" s="96" t="s">
        <v>433</v>
      </c>
      <c r="C48" s="66" t="str">
        <f aca="false">IF('👤 L4 Individual'!C6="","",'👤 L4 Individual'!C6)</f>
        <v/>
      </c>
      <c r="D48" s="66" t="str">
        <f aca="false">IF('👤 L4 Individual'!D6="","",'👤 L4 Individual'!D6)</f>
        <v>Record all platform decisions in a decision log</v>
      </c>
      <c r="E48" s="66" t="str">
        <f aca="false">IF('👤 L4 Individual'!E6="","",'👤 L4 Individual'!E6)</f>
        <v>Vivek</v>
      </c>
      <c r="F48" s="89" t="n">
        <f aca="false">IFERROR('👤 L4 Individual'!J6,"")</f>
        <v>0</v>
      </c>
      <c r="G48" s="90" t="n">
        <f aca="false">IFERROR('👤 L4 Individual'!M6,"")</f>
        <v>0</v>
      </c>
      <c r="H48" s="66" t="str">
        <f aca="false">IFERROR('👤 L4 Individual'!N6,"")</f>
        <v>🔴 Off Track</v>
      </c>
      <c r="I48" s="66" t="str">
        <f aca="false">IFERROR('👤 L4 Individual'!F6,"")</f>
        <v>Committed</v>
      </c>
      <c r="J48" s="66" t="str">
        <f aca="false">IFERROR('👤 L4 Individual'!Q6,"")</f>
        <v>Q3 2026</v>
      </c>
      <c r="K48" s="66" t="str">
        <f aca="false">IFERROR('👤 L4 Individual'!U6,"")</f>
        <v>Notion doc needed</v>
      </c>
      <c r="L48" s="1"/>
      <c r="M48" s="1"/>
      <c r="N48" s="1"/>
      <c r="O48" s="1"/>
      <c r="P48" s="1"/>
    </row>
    <row r="49" customFormat="false" ht="37.5" hidden="false" customHeight="true" outlineLevel="0" collapsed="false">
      <c r="A49" s="1"/>
      <c r="B49" s="96" t="s">
        <v>433</v>
      </c>
      <c r="C49" s="67" t="str">
        <f aca="false">IF('👤 L4 Individual'!C7="","",'👤 L4 Individual'!C7)</f>
        <v/>
      </c>
      <c r="D49" s="67" t="str">
        <f aca="false">IF('👤 L4 Individual'!D7="","",'👤 L4 Individual'!D7)</f>
        <v>Close first 100 paying Pro subscribers personally</v>
      </c>
      <c r="E49" s="67" t="str">
        <f aca="false">IF('👤 L4 Individual'!E7="","",'👤 L4 Individual'!E7)</f>
        <v>Vivek</v>
      </c>
      <c r="F49" s="87" t="n">
        <f aca="false">IFERROR('👤 L4 Individual'!J7,"")</f>
        <v>0</v>
      </c>
      <c r="G49" s="88" t="n">
        <f aca="false">IFERROR('👤 L4 Individual'!M7,"")</f>
        <v>0</v>
      </c>
      <c r="H49" s="67" t="str">
        <f aca="false">IFERROR('👤 L4 Individual'!N7,"")</f>
        <v>🔴 Off Track</v>
      </c>
      <c r="I49" s="67" t="str">
        <f aca="false">IFERROR('👤 L4 Individual'!F7,"")</f>
        <v>Aspirational</v>
      </c>
      <c r="J49" s="67" t="str">
        <f aca="false">IFERROR('👤 L4 Individual'!Q7,"")</f>
        <v>Q3 2026</v>
      </c>
      <c r="K49" s="67" t="str">
        <f aca="false">IFERROR('👤 L4 Individual'!U7,"")</f>
        <v>Outreach + LinkedIn</v>
      </c>
      <c r="L49" s="1"/>
      <c r="M49" s="1"/>
      <c r="N49" s="1"/>
      <c r="O49" s="1"/>
      <c r="P49" s="1"/>
    </row>
    <row r="50" customFormat="false" ht="37.5" hidden="false" customHeight="true" outlineLevel="0" collapsed="false">
      <c r="A50" s="1"/>
      <c r="B50" s="96" t="s">
        <v>433</v>
      </c>
      <c r="C50" s="66" t="str">
        <f aca="false">IF('👤 L4 Individual'!C8="","",'👤 L4 Individual'!C8)</f>
        <v/>
      </c>
      <c r="D50" s="66" t="str">
        <f aca="false">IF('👤 L4 Individual'!D8="","",'👤 L4 Individual'!D8)</f>
        <v>Complete INC 20A filing and bank account activation</v>
      </c>
      <c r="E50" s="66" t="str">
        <f aca="false">IF('👤 L4 Individual'!E8="","",'👤 L4 Individual'!E8)</f>
        <v>Vivek</v>
      </c>
      <c r="F50" s="89" t="n">
        <f aca="false">IFERROR('👤 L4 Individual'!J8,"")</f>
        <v>0</v>
      </c>
      <c r="G50" s="90" t="n">
        <f aca="false">IFERROR('👤 L4 Individual'!M8,"")</f>
        <v>0</v>
      </c>
      <c r="H50" s="66" t="str">
        <f aca="false">IFERROR('👤 L4 Individual'!N8,"")</f>
        <v>🔴 Off Track</v>
      </c>
      <c r="I50" s="66" t="str">
        <f aca="false">IFERROR('👤 L4 Individual'!F8,"")</f>
        <v>Committed</v>
      </c>
      <c r="J50" s="66" t="str">
        <f aca="false">IFERROR('👤 L4 Individual'!Q8,"")</f>
        <v>Q3 2026</v>
      </c>
      <c r="K50" s="66" t="str">
        <f aca="false">IFERROR('👤 L4 Individual'!U8,"")</f>
        <v>Blocking Razorpay</v>
      </c>
      <c r="L50" s="1"/>
      <c r="M50" s="1"/>
      <c r="N50" s="1"/>
      <c r="O50" s="1"/>
      <c r="P50" s="1"/>
    </row>
    <row r="51" customFormat="false" ht="37.5" hidden="false" customHeight="true" outlineLevel="0" collapsed="false">
      <c r="A51" s="1"/>
      <c r="B51" s="96" t="s">
        <v>433</v>
      </c>
      <c r="C51" s="67" t="str">
        <f aca="false">IF('👤 L4 Individual'!C9="","",'👤 L4 Individual'!C9)</f>
        <v>CPO: Define and ship a product roadmap that users love</v>
      </c>
      <c r="D51" s="67" t="str">
        <f aca="false">IF('👤 L4 Individual'!D9="","",'👤 L4 Individual'!D9)</f>
        <v>Write detailed PRD for each new feature before build</v>
      </c>
      <c r="E51" s="67" t="str">
        <f aca="false">IF('👤 L4 Individual'!E9="","",'👤 L4 Individual'!E9)</f>
        <v>CPO</v>
      </c>
      <c r="F51" s="87" t="n">
        <f aca="false">IFERROR('👤 L4 Individual'!J9,"")</f>
        <v>1</v>
      </c>
      <c r="G51" s="88" t="n">
        <f aca="false">IFERROR('👤 L4 Individual'!M9,"")</f>
        <v>100</v>
      </c>
      <c r="H51" s="67" t="str">
        <f aca="false">IFERROR('👤 L4 Individual'!N9,"")</f>
        <v>🏆 Supercharged</v>
      </c>
      <c r="I51" s="67" t="str">
        <f aca="false">IFERROR('👤 L4 Individual'!F9,"")</f>
        <v>Committed</v>
      </c>
      <c r="J51" s="67" t="str">
        <f aca="false">IFERROR('👤 L4 Individual'!Q9,"")</f>
        <v>Q3 2026</v>
      </c>
      <c r="K51" s="67" t="str">
        <f aca="false">IFERROR('👤 L4 Individual'!U9,"")</f>
        <v>4 PRDs done this quarter</v>
      </c>
      <c r="L51" s="1"/>
      <c r="M51" s="1"/>
      <c r="N51" s="1"/>
      <c r="O51" s="1"/>
      <c r="P51" s="1"/>
    </row>
    <row r="52" customFormat="false" ht="37.5" hidden="false" customHeight="true" outlineLevel="0" collapsed="false">
      <c r="A52" s="1"/>
      <c r="B52" s="96" t="s">
        <v>433</v>
      </c>
      <c r="C52" s="66" t="str">
        <f aca="false">IF('👤 L4 Individual'!C10="","",'👤 L4 Individual'!C10)</f>
        <v/>
      </c>
      <c r="D52" s="66" t="str">
        <f aca="false">IF('👤 L4 Individual'!D10="","",'👤 L4 Individual'!D10)</f>
        <v>Conduct 10 user interviews with HR professionals</v>
      </c>
      <c r="E52" s="66" t="str">
        <f aca="false">IF('👤 L4 Individual'!E10="","",'👤 L4 Individual'!E10)</f>
        <v>CPO</v>
      </c>
      <c r="F52" s="89" t="n">
        <f aca="false">IFERROR('👤 L4 Individual'!J10,"")</f>
        <v>0.2</v>
      </c>
      <c r="G52" s="90" t="n">
        <f aca="false">IFERROR('👤 L4 Individual'!M10,"")</f>
        <v>20</v>
      </c>
      <c r="H52" s="66" t="str">
        <f aca="false">IFERROR('👤 L4 Individual'!N10,"")</f>
        <v>🔴 Off Track</v>
      </c>
      <c r="I52" s="66" t="str">
        <f aca="false">IFERROR('👤 L4 Individual'!F10,"")</f>
        <v>Aspirational</v>
      </c>
      <c r="J52" s="66" t="str">
        <f aca="false">IFERROR('👤 L4 Individual'!Q10,"")</f>
        <v>Q3 2026</v>
      </c>
      <c r="K52" s="66" t="str">
        <f aca="false">IFERROR('👤 L4 Individual'!U10,"")</f>
        <v>2 done, 8 remaining</v>
      </c>
      <c r="L52" s="1"/>
      <c r="M52" s="1"/>
      <c r="N52" s="1"/>
      <c r="O52" s="1"/>
      <c r="P52" s="1"/>
    </row>
    <row r="53" customFormat="false" ht="37.5" hidden="false" customHeight="true" outlineLevel="0" collapsed="false">
      <c r="A53" s="1"/>
      <c r="B53" s="96" t="s">
        <v>433</v>
      </c>
      <c r="C53" s="67" t="str">
        <f aca="false">IF('👤 L4 Individual'!C11="","",'👤 L4 Individual'!C11)</f>
        <v/>
      </c>
      <c r="D53" s="67" t="str">
        <f aca="false">IF('👤 L4 Individual'!D11="","",'👤 L4 Individual'!D11)</f>
        <v>Define pricing v2 (₹1499 India / $25 Global)</v>
      </c>
      <c r="E53" s="67" t="str">
        <f aca="false">IF('👤 L4 Individual'!E11="","",'👤 L4 Individual'!E11)</f>
        <v>CPO</v>
      </c>
      <c r="F53" s="87" t="n">
        <f aca="false">IFERROR('👤 L4 Individual'!J11,"")</f>
        <v>0</v>
      </c>
      <c r="G53" s="88" t="n">
        <f aca="false">IFERROR('👤 L4 Individual'!M11,"")</f>
        <v>0</v>
      </c>
      <c r="H53" s="67" t="str">
        <f aca="false">IFERROR('👤 L4 Individual'!N11,"")</f>
        <v>🔴 Off Track</v>
      </c>
      <c r="I53" s="67" t="str">
        <f aca="false">IFERROR('👤 L4 Individual'!F11,"")</f>
        <v>Committed</v>
      </c>
      <c r="J53" s="67" t="str">
        <f aca="false">IFERROR('👤 L4 Individual'!Q11,"")</f>
        <v>Q3 2026</v>
      </c>
      <c r="K53" s="67" t="str">
        <f aca="false">IFERROR('👤 L4 Individual'!U11,"")</f>
        <v>Decision made, page needs update</v>
      </c>
      <c r="L53" s="1"/>
      <c r="M53" s="1"/>
      <c r="N53" s="1"/>
      <c r="O53" s="1"/>
      <c r="P53" s="1"/>
    </row>
    <row r="54" customFormat="false" ht="37.5" hidden="false" customHeight="true" outlineLevel="0" collapsed="false">
      <c r="A54" s="1"/>
      <c r="B54" s="96" t="s">
        <v>433</v>
      </c>
      <c r="C54" s="66" t="str">
        <f aca="false">IF('👤 L4 Individual'!C12="","",'👤 L4 Individual'!C12)</f>
        <v/>
      </c>
      <c r="D54" s="66" t="str">
        <f aca="false">IF('👤 L4 Individual'!D12="","",'👤 L4 Individual'!D12)</f>
        <v>Ship OKR flagship Excel to Downloads Library</v>
      </c>
      <c r="E54" s="66" t="str">
        <f aca="false">IF('👤 L4 Individual'!E12="","",'👤 L4 Individual'!E12)</f>
        <v>CPO</v>
      </c>
      <c r="F54" s="89" t="n">
        <f aca="false">IFERROR('👤 L4 Individual'!J12,"")</f>
        <v>0</v>
      </c>
      <c r="G54" s="90" t="n">
        <f aca="false">IFERROR('👤 L4 Individual'!M12,"")</f>
        <v>0</v>
      </c>
      <c r="H54" s="66" t="str">
        <f aca="false">IFERROR('👤 L4 Individual'!N12,"")</f>
        <v>🔴 Off Track</v>
      </c>
      <c r="I54" s="66" t="str">
        <f aca="false">IFERROR('👤 L4 Individual'!F12,"")</f>
        <v>Committed</v>
      </c>
      <c r="J54" s="66" t="str">
        <f aca="false">IFERROR('👤 L4 Individual'!Q12,"")</f>
        <v>Q3 2026</v>
      </c>
      <c r="K54" s="66" t="str">
        <f aca="false">IFERROR('👤 L4 Individual'!U12,"")</f>
        <v>In progress right now 🔨</v>
      </c>
      <c r="L54" s="1"/>
      <c r="M54" s="1"/>
      <c r="N54" s="1"/>
      <c r="O54" s="1"/>
      <c r="P54" s="1"/>
    </row>
    <row r="55" customFormat="false" ht="37.5" hidden="false" customHeight="true" outlineLevel="0" collapsed="false">
      <c r="A55" s="1"/>
      <c r="B55" s="96" t="s">
        <v>433</v>
      </c>
      <c r="C55" s="67" t="str">
        <f aca="false">IF('👤 L4 Individual'!C13="","",'👤 L4 Individual'!C13)</f>
        <v/>
      </c>
      <c r="D55" s="67" t="str">
        <f aca="false">IF('👤 L4 Individual'!D13="","",'👤 L4 Individual'!D13)</f>
        <v/>
      </c>
      <c r="E55" s="67" t="str">
        <f aca="false">IF('👤 L4 Individual'!E13="","",'👤 L4 Individual'!E13)</f>
        <v/>
      </c>
      <c r="F55" s="87" t="n">
        <f aca="false">IFERROR('👤 L4 Individual'!J13,"")</f>
        <v>0</v>
      </c>
      <c r="G55" s="88" t="n">
        <f aca="false">IFERROR('👤 L4 Individual'!M13,"")</f>
        <v>0</v>
      </c>
      <c r="H55" s="67" t="n">
        <f aca="false">IFERROR('👤 L4 Individual'!N13,"")</f>
        <v>0</v>
      </c>
      <c r="I55" s="67" t="n">
        <f aca="false">IFERROR('👤 L4 Individual'!F13,"")</f>
        <v>0</v>
      </c>
      <c r="J55" s="67" t="n">
        <f aca="false">IFERROR('👤 L4 Individual'!Q13,"")</f>
        <v>0</v>
      </c>
      <c r="K55" s="67" t="n">
        <f aca="false">IFERROR('👤 L4 Individual'!U13,"")</f>
        <v>0</v>
      </c>
      <c r="L55" s="1"/>
      <c r="M55" s="1"/>
      <c r="N55" s="1"/>
      <c r="O55" s="1"/>
      <c r="P55" s="1"/>
    </row>
    <row r="56" customFormat="false" ht="37.5" hidden="false" customHeight="true" outlineLevel="0" collapsed="false">
      <c r="A56" s="1"/>
      <c r="B56" s="96" t="s">
        <v>433</v>
      </c>
      <c r="C56" s="66" t="str">
        <f aca="false">IF('👤 L4 Individual'!C14="","",'👤 L4 Individual'!C14)</f>
        <v/>
      </c>
      <c r="D56" s="66" t="str">
        <f aca="false">IF('👤 L4 Individual'!D14="","",'👤 L4 Individual'!D14)</f>
        <v/>
      </c>
      <c r="E56" s="66" t="str">
        <f aca="false">IF('👤 L4 Individual'!E14="","",'👤 L4 Individual'!E14)</f>
        <v/>
      </c>
      <c r="F56" s="89" t="str">
        <f aca="false">IFERROR('👤 L4 Individual'!J14,"")</f>
        <v>On Track KRs</v>
      </c>
      <c r="G56" s="90" t="n">
        <f aca="false">IFERROR('👤 L4 Individual'!M14,"")</f>
        <v>1</v>
      </c>
      <c r="H56" s="66" t="str">
        <f aca="false">IFERROR('👤 L4 Individual'!N14,"")</f>
        <v>Off Track KRs</v>
      </c>
      <c r="I56" s="66" t="str">
        <f aca="false">IFERROR('👤 L4 Individual'!F14,"")</f>
        <v>Avg Google Score</v>
      </c>
      <c r="J56" s="66" t="n">
        <f aca="false">IFERROR('👤 L4 Individual'!Q14,"")</f>
        <v>0</v>
      </c>
      <c r="K56" s="66" t="n">
        <f aca="false">IFERROR('👤 L4 Individual'!U14,"")</f>
        <v>0</v>
      </c>
      <c r="L56" s="1"/>
      <c r="M56" s="1"/>
      <c r="N56" s="1"/>
      <c r="O56" s="1"/>
      <c r="P56" s="1"/>
    </row>
    <row r="57" customFormat="false" ht="37.5" hidden="false" customHeight="true" outlineLevel="0" collapsed="false">
      <c r="A57" s="1"/>
      <c r="B57" s="96" t="s">
        <v>433</v>
      </c>
      <c r="C57" s="67" t="str">
        <f aca="false">IF('👤 L4 Individual'!C15="","",'👤 L4 Individual'!C15)</f>
        <v/>
      </c>
      <c r="D57" s="67" t="str">
        <f aca="false">IF('👤 L4 Individual'!D15="","",'👤 L4 Individual'!D15)</f>
        <v/>
      </c>
      <c r="E57" s="67" t="str">
        <f aca="false">IF('👤 L4 Individual'!E15="","",'👤 L4 Individual'!E15)</f>
        <v/>
      </c>
      <c r="F57" s="87" t="n">
        <f aca="false">IFERROR('👤 L4 Individual'!J15,"")</f>
        <v>0</v>
      </c>
      <c r="G57" s="88" t="n">
        <f aca="false">IFERROR('👤 L4 Individual'!M15,"")</f>
        <v>0</v>
      </c>
      <c r="H57" s="67" t="n">
        <f aca="false">IFERROR('👤 L4 Individual'!N15,"")</f>
        <v>0</v>
      </c>
      <c r="I57" s="67" t="n">
        <f aca="false">IFERROR('👤 L4 Individual'!F15,"")</f>
        <v>0</v>
      </c>
      <c r="J57" s="67" t="n">
        <f aca="false">IFERROR('👤 L4 Individual'!Q15,"")</f>
        <v>0</v>
      </c>
      <c r="K57" s="67" t="n">
        <f aca="false">IFERROR('👤 L4 Individual'!U15,"")</f>
        <v>0</v>
      </c>
      <c r="L57" s="1"/>
      <c r="M57" s="1"/>
      <c r="N57" s="1"/>
      <c r="O57" s="1"/>
      <c r="P57" s="1"/>
    </row>
    <row r="58" customFormat="false" ht="37.5" hidden="false" customHeight="true" outlineLevel="0" collapsed="false">
      <c r="A58" s="1"/>
      <c r="B58" s="96" t="s">
        <v>433</v>
      </c>
      <c r="C58" s="66" t="str">
        <f aca="false">IF('👤 L4 Individual'!C16="","",'👤 L4 Individual'!C16)</f>
        <v/>
      </c>
      <c r="D58" s="66" t="str">
        <f aca="false">IF('👤 L4 Individual'!D16="","",'👤 L4 Individual'!D16)</f>
        <v/>
      </c>
      <c r="E58" s="66" t="str">
        <f aca="false">IF('👤 L4 Individual'!E16="","",'👤 L4 Individual'!E16)</f>
        <v/>
      </c>
      <c r="F58" s="89" t="n">
        <f aca="false">IFERROR('👤 L4 Individual'!J16,"")</f>
        <v>0</v>
      </c>
      <c r="G58" s="90" t="n">
        <f aca="false">IFERROR('👤 L4 Individual'!M16,"")</f>
        <v>0</v>
      </c>
      <c r="H58" s="66" t="n">
        <f aca="false">IFERROR('👤 L4 Individual'!N16,"")</f>
        <v>0</v>
      </c>
      <c r="I58" s="66" t="n">
        <f aca="false">IFERROR('👤 L4 Individual'!F16,"")</f>
        <v>0</v>
      </c>
      <c r="J58" s="66" t="n">
        <f aca="false">IFERROR('👤 L4 Individual'!Q16,"")</f>
        <v>0</v>
      </c>
      <c r="K58" s="66" t="n">
        <f aca="false">IFERROR('👤 L4 Individual'!U16,"")</f>
        <v>0</v>
      </c>
      <c r="L58" s="1"/>
      <c r="M58" s="1"/>
      <c r="N58" s="1"/>
      <c r="O58" s="1"/>
      <c r="P58" s="1"/>
    </row>
    <row r="59" customFormat="false" ht="37.5" hidden="false" customHeight="true" outlineLevel="0" collapsed="false">
      <c r="A59" s="1"/>
      <c r="B59" s="96" t="s">
        <v>433</v>
      </c>
      <c r="C59" s="67" t="str">
        <f aca="false">IF('👤 L4 Individual'!C17="","",'👤 L4 Individual'!C17)</f>
        <v/>
      </c>
      <c r="D59" s="67" t="str">
        <f aca="false">IF('👤 L4 Individual'!D17="","",'👤 L4 Individual'!D17)</f>
        <v/>
      </c>
      <c r="E59" s="67" t="str">
        <f aca="false">IF('👤 L4 Individual'!E17="","",'👤 L4 Individual'!E17)</f>
        <v/>
      </c>
      <c r="F59" s="87" t="n">
        <f aca="false">IFERROR('👤 L4 Individual'!J17,"")</f>
        <v>0</v>
      </c>
      <c r="G59" s="88" t="n">
        <f aca="false">IFERROR('👤 L4 Individual'!M17,"")</f>
        <v>0</v>
      </c>
      <c r="H59" s="67" t="n">
        <f aca="false">IFERROR('👤 L4 Individual'!N17,"")</f>
        <v>0</v>
      </c>
      <c r="I59" s="67" t="n">
        <f aca="false">IFERROR('👤 L4 Individual'!F17,"")</f>
        <v>0</v>
      </c>
      <c r="J59" s="67" t="n">
        <f aca="false">IFERROR('👤 L4 Individual'!Q17,"")</f>
        <v>0</v>
      </c>
      <c r="K59" s="67" t="n">
        <f aca="false">IFERROR('👤 L4 Individual'!U17,"")</f>
        <v>0</v>
      </c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</sheetData>
  <mergeCells count="6">
    <mergeCell ref="B1:K1"/>
    <mergeCell ref="B2:K2"/>
    <mergeCell ref="B4:K4"/>
    <mergeCell ref="B18:K18"/>
    <mergeCell ref="B32:K32"/>
    <mergeCell ref="B46:K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2026-05-31T07:08:51Z</dcterms:created>
  <dc:creator>openpyxl</dc:creator>
  <dc:description/>
  <dc:language>en-US</dc:language>
  <cp:lastModifiedBy/>
  <dcterms:modified xsi:type="dcterms:W3CDTF">2026-05-31T07:08:54Z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