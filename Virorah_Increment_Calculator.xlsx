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Employee Data" sheetId="3" state="visible" r:id="rId5"/>
    <sheet name="Budget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<sst xmlns="http://schemas.openxmlformats.org/spreadsheetml/2006/main" count="127" uniqueCount="122">
  <si>
    <t xml:space="preserve">💰  VIRORAH PMS — INCREMENT CALCULATOR</t>
  </si>
  <si>
    <t xml:space="preserve">Salary Band Designer · Budget Planner · % Hike Calculator · Pay Equity Checker</t>
  </si>
  <si>
    <t xml:space="preserve">HOW TO USE</t>
  </si>
  <si>
    <t xml:space="preserve">Sheet: Assumptions</t>
  </si>
  <si>
    <t xml:space="preserve">Enter your total increment budget %, performance rating weights, and band ranges.</t>
  </si>
  <si>
    <t xml:space="preserve">Sheet: Employee Data</t>
  </si>
  <si>
    <t xml:space="preserve">Enter employee names, roles, ratings, and current salary. Recommended % auto-calculates.</t>
  </si>
  <si>
    <t xml:space="preserve">Sheet: Budget Summary</t>
  </si>
  <si>
    <t xml:space="preserve">See total budget consumed, remaining, and how the distribution looks vs bell curve.</t>
  </si>
  <si>
    <t xml:space="preserve">Sheet: Band Designer</t>
  </si>
  <si>
    <t xml:space="preserve">Define salary bands for each level. Gaps and overlaps flagged automatically.</t>
  </si>
  <si>
    <t xml:space="preserve">COLOR CODE</t>
  </si>
  <si>
    <t xml:space="preserve">Blue text</t>
  </si>
  <si>
    <t xml:space="preserve">Black text</t>
  </si>
  <si>
    <t xml:space="preserve">Red background</t>
  </si>
  <si>
    <t xml:space="preserve">KEY RULES</t>
  </si>
  <si>
    <t xml:space="preserve">Budget</t>
  </si>
  <si>
    <t xml:space="preserve">Never exceed 100% of the budget pool — use the Budget Summary sheet to track.</t>
  </si>
  <si>
    <t xml:space="preserve">Ratings</t>
  </si>
  <si>
    <t xml:space="preserve">Ratings 1–5. Rating 5 → highest hike multiplier. Rating 1 → no increment.</t>
  </si>
  <si>
    <t xml:space="preserve">Band Breach</t>
  </si>
  <si>
    <t xml:space="preserve">If Recommended Salary falls outside band, the cell highlights red automatically.</t>
  </si>
  <si>
    <t xml:space="preserve">⚙️  INCREMENT ASSUMPTIONS</t>
  </si>
  <si>
    <t xml:space="preserve">BUDGET</t>
  </si>
  <si>
    <t xml:space="preserve">Total Salary Budget (₹ or currency)</t>
  </si>
  <si>
    <t xml:space="preserve">Enter total annual payroll cost</t>
  </si>
  <si>
    <t xml:space="preserve">Increment Budget % of total payroll</t>
  </si>
  <si>
    <t xml:space="preserve">10%</t>
  </si>
  <si>
    <t xml:space="preserve">Typical: 8–12%</t>
  </si>
  <si>
    <t xml:space="preserve">Increment Pool (auto-calculated)</t>
  </si>
  <si>
    <t xml:space="preserve">Formula: Budget × Pool %</t>
  </si>
  <si>
    <t xml:space="preserve">RATING-TO-HIKE MULTIPLIER</t>
  </si>
  <si>
    <t xml:space="preserve">Rating 5 (Outstanding)</t>
  </si>
  <si>
    <t xml:space="preserve">1.8</t>
  </si>
  <si>
    <t xml:space="preserve">Multiplier on base hike %</t>
  </si>
  <si>
    <t xml:space="preserve">Rating 4 (Exceeds)</t>
  </si>
  <si>
    <t xml:space="preserve">1.3</t>
  </si>
  <si>
    <t xml:space="preserve">Rating 3 (Meets)</t>
  </si>
  <si>
    <t xml:space="preserve">1.0</t>
  </si>
  <si>
    <t xml:space="preserve">Rating 2 (Partially Meets)</t>
  </si>
  <si>
    <t xml:space="preserve">0.5</t>
  </si>
  <si>
    <t xml:space="preserve">Rating 1 (Below)</t>
  </si>
  <si>
    <t xml:space="preserve">0.0</t>
  </si>
  <si>
    <t xml:space="preserve">No increment</t>
  </si>
  <si>
    <t xml:space="preserve">BASE HIKE %</t>
  </si>
  <si>
    <t xml:space="preserve">Base Increment % (before multiplier)</t>
  </si>
  <si>
    <t xml:space="preserve">6%</t>
  </si>
  <si>
    <t xml:space="preserve">Adjust based on market &amp; budget</t>
  </si>
  <si>
    <t xml:space="preserve">Max Hike % cap (any individual)</t>
  </si>
  <si>
    <t xml:space="preserve">25%</t>
  </si>
  <si>
    <t xml:space="preserve">Hard cap to prevent outliers</t>
  </si>
  <si>
    <t xml:space="preserve">Min Hike % floor (rating 2–3)</t>
  </si>
  <si>
    <t xml:space="preserve">2%</t>
  </si>
  <si>
    <t xml:space="preserve">Minimum to prevent perception issues</t>
  </si>
  <si>
    <t xml:space="preserve">PERFORMANCE DISTRIBUTION (Expected)</t>
  </si>
  <si>
    <t xml:space="preserve">Rating 5 — % of team expected</t>
  </si>
  <si>
    <t xml:space="preserve">5%</t>
  </si>
  <si>
    <t xml:space="preserve">Rating 4 — % of team expected</t>
  </si>
  <si>
    <t xml:space="preserve">Rating 3 — % of team expected</t>
  </si>
  <si>
    <t xml:space="preserve">50%</t>
  </si>
  <si>
    <t xml:space="preserve">Rating 2 — % of team expected</t>
  </si>
  <si>
    <t xml:space="preserve">15%</t>
  </si>
  <si>
    <t xml:space="preserve">Rating 1 — % of team expected</t>
  </si>
  <si>
    <t xml:space="preserve">Total (should = 100%)</t>
  </si>
  <si>
    <t xml:space="preserve">Auto-checks</t>
  </si>
  <si>
    <t xml:space="preserve">👥  EMPLOYEE INCREMENT CALCULATOR</t>
  </si>
  <si>
    <t xml:space="preserve">#</t>
  </si>
  <si>
    <t xml:space="preserve">Employee Name</t>
  </si>
  <si>
    <t xml:space="preserve">Role / Level</t>
  </si>
  <si>
    <t xml:space="preserve">Department</t>
  </si>
  <si>
    <t xml:space="preserve">Rating (1-5)</t>
  </si>
  <si>
    <t xml:space="preserve">Current Salary</t>
  </si>
  <si>
    <t xml:space="preserve">Band Min</t>
  </si>
  <si>
    <t xml:space="preserve">Band Max</t>
  </si>
  <si>
    <t xml:space="preserve">Hike %</t>
  </si>
  <si>
    <t xml:space="preserve">Increment Amt</t>
  </si>
  <si>
    <t xml:space="preserve">New Salary</t>
  </si>
  <si>
    <t xml:space="preserve">Band Status</t>
  </si>
  <si>
    <t xml:space="preserve">Notes</t>
  </si>
  <si>
    <t xml:space="preserve">Priya Sharma</t>
  </si>
  <si>
    <t xml:space="preserve">Senior HRBP</t>
  </si>
  <si>
    <t xml:space="preserve">People &amp; Culture</t>
  </si>
  <si>
    <t xml:space="preserve">Rahul Mehta</t>
  </si>
  <si>
    <t xml:space="preserve">Product Manager</t>
  </si>
  <si>
    <t xml:space="preserve">Product</t>
  </si>
  <si>
    <t xml:space="preserve">Ananya Kumar</t>
  </si>
  <si>
    <t xml:space="preserve">Growth Manager</t>
  </si>
  <si>
    <t xml:space="preserve">Marketing</t>
  </si>
  <si>
    <t xml:space="preserve">Vikram Singh</t>
  </si>
  <si>
    <t xml:space="preserve">Software Engineer</t>
  </si>
  <si>
    <t xml:space="preserve">Engineering</t>
  </si>
  <si>
    <t xml:space="preserve">Deepika Nair</t>
  </si>
  <si>
    <t xml:space="preserve">CS Lead</t>
  </si>
  <si>
    <t xml:space="preserve">Customer Success</t>
  </si>
  <si>
    <t xml:space="preserve">Arjun Patel</t>
  </si>
  <si>
    <t xml:space="preserve">Data Analyst</t>
  </si>
  <si>
    <t xml:space="preserve">Analytics</t>
  </si>
  <si>
    <t xml:space="preserve">Sneha Iyer</t>
  </si>
  <si>
    <t xml:space="preserve">HR Manager</t>
  </si>
  <si>
    <t xml:space="preserve">Rohan Das</t>
  </si>
  <si>
    <t xml:space="preserve">Backend Engineer</t>
  </si>
  <si>
    <t xml:space="preserve">Kavya Reddy</t>
  </si>
  <si>
    <t xml:space="preserve">Marketing Analyst</t>
  </si>
  <si>
    <t xml:space="preserve">Amit Joshi</t>
  </si>
  <si>
    <t xml:space="preserve">Finance Manager</t>
  </si>
  <si>
    <t xml:space="preserve">Finance</t>
  </si>
  <si>
    <t xml:space="preserve">TOTALS</t>
  </si>
  <si>
    <t xml:space="preserve">📊  BUDGET SUMMARY</t>
  </si>
  <si>
    <t xml:space="preserve">Total Payroll (current)</t>
  </si>
  <si>
    <t xml:space="preserve">Increment Budget %</t>
  </si>
  <si>
    <t xml:space="preserve">Total Budget Pool</t>
  </si>
  <si>
    <t xml:space="preserve">Total Increments Budgeted</t>
  </si>
  <si>
    <t xml:space="preserve">Budget Remaining</t>
  </si>
  <si>
    <t xml:space="preserve">Budget Used %</t>
  </si>
  <si>
    <t xml:space="preserve">Budget Status</t>
  </si>
  <si>
    <t xml:space="preserve">RATING DISTRIBUTION (Actual)</t>
  </si>
  <si>
    <t xml:space="preserve">Rating 5 count</t>
  </si>
  <si>
    <t xml:space="preserve">Rating 4 count</t>
  </si>
  <si>
    <t xml:space="preserve">Rating 3 count</t>
  </si>
  <si>
    <t xml:space="preserve">Rating 2 count</t>
  </si>
  <si>
    <t xml:space="preserve">Rating 1 count</t>
  </si>
  <si>
    <t xml:space="preserve">Total employees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</si>
</sst>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\₹#,##0"/>
    <numFmt numFmtId="167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4F3FF"/>
      <name val="Arial"/>
      <family val="0"/>
      <charset val="1"/>
    </font>
    <font>
      <sz val="11"/>
      <color rgb="FFA5B4FC"/>
      <name val="Arial"/>
      <family val="0"/>
      <charset val="1"/>
    </font>
    <font>
      <b val="true"/>
      <sz val="11"/>
      <color rgb="FFC4B5FD"/>
      <name val="Arial"/>
      <family val="0"/>
      <charset val="1"/>
    </font>
    <font>
      <b val="true"/>
      <sz val="10"/>
      <color rgb="FFC4B5FD"/>
      <name val="Arial"/>
      <family val="0"/>
      <charset val="1"/>
    </font>
    <font>
      <sz val="10"/>
      <color rgb="FFE0E0FF"/>
      <name val="Arial"/>
      <family val="0"/>
      <charset val="1"/>
    </font>
    <font>
      <b val="true"/>
      <sz val="16"/>
      <color rgb="FFF4F3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B6B9A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4F3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D0B1E"/>
        <bgColor rgb="FF000000"/>
      </patternFill>
    </fill>
    <fill>
      <patternFill patternType="solid">
        <fgColor rgb="FF2D2B52"/>
        <bgColor rgb="FF3D3B6E"/>
      </patternFill>
    </fill>
    <fill>
      <patternFill patternType="solid">
        <fgColor rgb="FF6366F1"/>
        <bgColor rgb="FF6B6B9A"/>
      </patternFill>
    </fill>
    <fill>
      <patternFill patternType="solid">
        <fgColor rgb="FF1A1740"/>
        <bgColor rgb="FF0D0B1E"/>
      </patternFill>
    </fill>
    <fill>
      <patternFill patternType="solid">
        <fgColor rgb="FF3D3B6E"/>
        <bgColor rgb="FF2D2B52"/>
      </patternFill>
    </fill>
    <fill>
      <patternFill patternType="solid">
        <fgColor rgb="FF4F4D8A"/>
        <bgColor rgb="FF3D3B6E"/>
      </patternFill>
    </fill>
    <fill>
      <patternFill patternType="solid">
        <fgColor rgb="FF10B981"/>
        <bgColor rgb="FF33CC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4F4D8A"/>
      </left>
      <right/>
      <top style="thin">
        <color rgb="FF4F4D8A"/>
      </top>
      <bottom style="thin">
        <color rgb="FF4F4D8A"/>
      </bottom>
      <diagonal/>
    </border>
    <border diagonalUp="false" diagonalDown="false">
      <left style="thin">
        <color rgb="FF2D2B52"/>
      </left>
      <right style="thin">
        <color rgb="FF2D2B52"/>
      </right>
      <top style="thin">
        <color rgb="FF2D2B52"/>
      </top>
      <bottom style="thin">
        <color rgb="FF2D2B52"/>
      </bottom>
      <diagonal/>
    </border>
    <border diagonalUp="false" diagonalDown="false">
      <left style="thin">
        <color rgb="FF4F4D8A"/>
      </left>
      <right style="thin">
        <color rgb="FF4F4D8A"/>
      </right>
      <top style="thin">
        <color rgb="FF4F4D8A"/>
      </top>
      <bottom style="thin">
        <color rgb="FF4F4D8A"/>
      </bottom>
      <diagonal/>
    </border>
    <border diagonalUp="false" diagonalDown="false"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3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4F4D8A"/>
      <rgbColor rgb="FFFFFFCC"/>
      <rgbColor rgb="FFE0E0FF"/>
      <rgbColor rgb="FF660066"/>
      <rgbColor rgb="FFFF8080"/>
      <rgbColor rgb="FF0066CC"/>
      <rgbColor rgb="FFC4B5F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5B4FC"/>
      <rgbColor rgb="FFFF99CC"/>
      <rgbColor rgb="FFCC99FF"/>
      <rgbColor rgb="FFFFCC99"/>
      <rgbColor rgb="FF6366F1"/>
      <rgbColor rgb="FF33CCCC"/>
      <rgbColor rgb="FF99CC00"/>
      <rgbColor rgb="FFFFCC00"/>
      <rgbColor rgb="FFFF9900"/>
      <rgbColor rgb="FFFF6600"/>
      <rgbColor rgb="FF6B6B9A"/>
      <rgbColor rgb="FF969696"/>
      <rgbColor rgb="FF1A1740"/>
      <rgbColor rgb="FF10B981"/>
      <rgbColor rgb="FF0D0B1E"/>
      <rgbColor rgb="FF333300"/>
      <rgbColor rgb="FF993300"/>
      <rgbColor rgb="FF993366"/>
      <rgbColor rgb="FF3D3B6E"/>
      <rgbColor rgb="FF2D2B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58"/>
    <col collapsed="false" customWidth="true" hidden="false" outlineLevel="0" max="8" min="4" style="0" width="16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36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1"/>
      <c r="J2" s="1"/>
    </row>
    <row r="3" customFormat="false" ht="21.75" hidden="false" customHeight="true" outlineLevel="0" collapsed="false">
      <c r="A3" s="1"/>
      <c r="B3" s="3" t="s">
        <v>1</v>
      </c>
      <c r="C3" s="3"/>
      <c r="D3" s="3"/>
      <c r="E3" s="3"/>
      <c r="F3" s="3"/>
      <c r="G3" s="3"/>
      <c r="H3" s="3"/>
      <c r="I3" s="1"/>
      <c r="J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</row>
    <row r="5" customFormat="false" ht="19.5" hidden="false" customHeight="true" outlineLevel="0" collapsed="false">
      <c r="A5" s="1"/>
      <c r="B5" s="4" t="s">
        <v>2</v>
      </c>
      <c r="C5" s="4"/>
      <c r="D5" s="4"/>
      <c r="E5" s="4"/>
      <c r="F5" s="4"/>
      <c r="G5" s="4"/>
      <c r="H5" s="4"/>
      <c r="I5" s="1"/>
      <c r="J5" s="1"/>
    </row>
    <row r="6" customFormat="false" ht="19.5" hidden="false" customHeight="true" outlineLevel="0" collapsed="false">
      <c r="A6" s="1"/>
      <c r="B6" s="5" t="s">
        <v>3</v>
      </c>
      <c r="C6" s="6" t="s">
        <v>4</v>
      </c>
      <c r="D6" s="6"/>
      <c r="E6" s="6"/>
      <c r="F6" s="6"/>
      <c r="G6" s="6"/>
      <c r="H6" s="6"/>
      <c r="I6" s="1"/>
      <c r="J6" s="1"/>
    </row>
    <row r="7" customFormat="false" ht="19.5" hidden="false" customHeight="true" outlineLevel="0" collapsed="false">
      <c r="A7" s="1"/>
      <c r="B7" s="5" t="s">
        <v>5</v>
      </c>
      <c r="C7" s="6" t="s">
        <v>6</v>
      </c>
      <c r="D7" s="6"/>
      <c r="E7" s="6"/>
      <c r="F7" s="6"/>
      <c r="G7" s="6"/>
      <c r="H7" s="6"/>
      <c r="I7" s="1"/>
      <c r="J7" s="1"/>
    </row>
    <row r="8" customFormat="false" ht="19.5" hidden="false" customHeight="true" outlineLevel="0" collapsed="false">
      <c r="A8" s="1"/>
      <c r="B8" s="5" t="s">
        <v>7</v>
      </c>
      <c r="C8" s="6" t="s">
        <v>8</v>
      </c>
      <c r="D8" s="6"/>
      <c r="E8" s="6"/>
      <c r="F8" s="6"/>
      <c r="G8" s="6"/>
      <c r="H8" s="6"/>
      <c r="I8" s="1"/>
      <c r="J8" s="1"/>
    </row>
    <row r="9" customFormat="false" ht="19.5" hidden="false" customHeight="true" outlineLevel="0" collapsed="false">
      <c r="A9" s="1"/>
      <c r="B9" s="5" t="s">
        <v>9</v>
      </c>
      <c r="C9" s="6" t="s">
        <v>10</v>
      </c>
      <c r="D9" s="6"/>
      <c r="E9" s="6"/>
      <c r="F9" s="6"/>
      <c r="G9" s="6"/>
      <c r="H9" s="6"/>
      <c r="I9" s="1"/>
      <c r="J9" s="1"/>
    </row>
    <row r="10" customFormat="false" ht="19.5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customFormat="false" ht="19.5" hidden="false" customHeight="true" outlineLevel="0" collapsed="false">
      <c r="A11" s="1"/>
      <c r="B11" s="4" t="s">
        <v>11</v>
      </c>
      <c r="C11" s="4"/>
      <c r="D11" s="4"/>
      <c r="E11" s="4"/>
      <c r="F11" s="4"/>
      <c r="G11" s="4"/>
      <c r="H11" s="4"/>
      <c r="I11" s="1"/>
      <c r="J11" s="1"/>
    </row>
    <row r="12" customFormat="false" ht="19.5" hidden="false" customHeight="true" outlineLevel="0" collapsed="false">
      <c r="A12" s="1"/>
      <c r="B12" s="5" t="s">
        <v>12</v>
      </c>
      <c r="C12" s="6" t="e">
        <f aca="false">user input — fill these in</f>
        <v>#N/A</v>
      </c>
      <c r="D12" s="6"/>
      <c r="E12" s="6"/>
      <c r="F12" s="6"/>
      <c r="G12" s="6"/>
      <c r="H12" s="6"/>
      <c r="I12" s="1"/>
      <c r="J12" s="1"/>
    </row>
    <row r="13" customFormat="false" ht="19.5" hidden="false" customHeight="true" outlineLevel="0" collapsed="false">
      <c r="A13" s="1"/>
      <c r="B13" s="5" t="s">
        <v>13</v>
      </c>
      <c r="C13" s="6" t="e">
        <f aca="false">formula — do not edit</f>
        <v>#N/A</v>
      </c>
      <c r="D13" s="6"/>
      <c r="E13" s="6"/>
      <c r="F13" s="6"/>
      <c r="G13" s="6"/>
      <c r="H13" s="6"/>
      <c r="I13" s="1"/>
      <c r="J13" s="1"/>
    </row>
    <row r="14" customFormat="false" ht="19.5" hidden="false" customHeight="true" outlineLevel="0" collapsed="false">
      <c r="A14" s="1"/>
      <c r="B14" s="5" t="s">
        <v>14</v>
      </c>
      <c r="C14" s="6" t="e">
        <f aca="false">flag — needs attention (budget exceeded, band breach)</f>
        <v>#N/A</v>
      </c>
      <c r="D14" s="6"/>
      <c r="E14" s="6"/>
      <c r="F14" s="6"/>
      <c r="G14" s="6"/>
      <c r="H14" s="6"/>
      <c r="I14" s="1"/>
      <c r="J14" s="1"/>
    </row>
    <row r="15" customFormat="false" ht="19.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customFormat="false" ht="19.5" hidden="false" customHeight="true" outlineLevel="0" collapsed="false">
      <c r="A16" s="1"/>
      <c r="B16" s="4" t="s">
        <v>15</v>
      </c>
      <c r="C16" s="4"/>
      <c r="D16" s="4"/>
      <c r="E16" s="4"/>
      <c r="F16" s="4"/>
      <c r="G16" s="4"/>
      <c r="H16" s="4"/>
      <c r="I16" s="1"/>
      <c r="J16" s="1"/>
    </row>
    <row r="17" customFormat="false" ht="19.5" hidden="false" customHeight="true" outlineLevel="0" collapsed="false">
      <c r="A17" s="1"/>
      <c r="B17" s="5" t="s">
        <v>16</v>
      </c>
      <c r="C17" s="6" t="s">
        <v>17</v>
      </c>
      <c r="D17" s="6"/>
      <c r="E17" s="6"/>
      <c r="F17" s="6"/>
      <c r="G17" s="6"/>
      <c r="H17" s="6"/>
      <c r="I17" s="1"/>
      <c r="J17" s="1"/>
    </row>
    <row r="18" customFormat="false" ht="19.5" hidden="false" customHeight="true" outlineLevel="0" collapsed="false">
      <c r="A18" s="1"/>
      <c r="B18" s="5" t="s">
        <v>18</v>
      </c>
      <c r="C18" s="6" t="s">
        <v>19</v>
      </c>
      <c r="D18" s="6"/>
      <c r="E18" s="6"/>
      <c r="F18" s="6"/>
      <c r="G18" s="6"/>
      <c r="H18" s="6"/>
      <c r="I18" s="1"/>
      <c r="J18" s="1"/>
    </row>
    <row r="19" customFormat="false" ht="19.5" hidden="false" customHeight="true" outlineLevel="0" collapsed="false">
      <c r="A19" s="1"/>
      <c r="B19" s="5" t="s">
        <v>20</v>
      </c>
      <c r="C19" s="6" t="s">
        <v>21</v>
      </c>
      <c r="D19" s="6"/>
      <c r="E19" s="6"/>
      <c r="F19" s="6"/>
      <c r="G19" s="6"/>
      <c r="H19" s="6"/>
      <c r="I19" s="1"/>
      <c r="J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</row>
  </sheetData>
  <mergeCells count="15">
    <mergeCell ref="B2:H2"/>
    <mergeCell ref="B3:H3"/>
    <mergeCell ref="B5:H5"/>
    <mergeCell ref="C6:H6"/>
    <mergeCell ref="C7:H7"/>
    <mergeCell ref="C8:H8"/>
    <mergeCell ref="C9:H9"/>
    <mergeCell ref="B11:H11"/>
    <mergeCell ref="C12:H12"/>
    <mergeCell ref="C13:H13"/>
    <mergeCell ref="C14:H14"/>
    <mergeCell ref="B16:H16"/>
    <mergeCell ref="C17:H17"/>
    <mergeCell ref="C18:H18"/>
    <mergeCell ref="C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6" min="4" style="0" width="16"/>
  </cols>
  <sheetData>
    <row r="1" customFormat="false" ht="36" hidden="false" customHeight="true" outlineLevel="0" collapsed="false">
      <c r="A1" s="7" t="s">
        <v>22</v>
      </c>
      <c r="B1" s="7"/>
      <c r="C1" s="7"/>
      <c r="D1" s="7"/>
      <c r="E1" s="7"/>
      <c r="F1" s="7"/>
      <c r="G1" s="1"/>
      <c r="H1" s="1"/>
    </row>
    <row r="2" customFormat="false" ht="21.75" hidden="false" customHeight="true" outlineLevel="0" collapsed="false">
      <c r="A2" s="8" t="s">
        <v>23</v>
      </c>
      <c r="B2" s="8"/>
      <c r="C2" s="8"/>
      <c r="D2" s="8"/>
      <c r="E2" s="8"/>
      <c r="F2" s="1"/>
      <c r="G2" s="1"/>
      <c r="H2" s="1"/>
    </row>
    <row r="3" customFormat="false" ht="21.75" hidden="false" customHeight="true" outlineLevel="0" collapsed="false">
      <c r="A3" s="9" t="s">
        <v>24</v>
      </c>
      <c r="B3" s="10"/>
      <c r="C3" s="11" t="s">
        <v>25</v>
      </c>
      <c r="D3" s="1"/>
      <c r="E3" s="1"/>
      <c r="F3" s="1"/>
      <c r="G3" s="1"/>
      <c r="H3" s="1"/>
    </row>
    <row r="4" customFormat="false" ht="21.75" hidden="false" customHeight="true" outlineLevel="0" collapsed="false">
      <c r="A4" s="12" t="s">
        <v>26</v>
      </c>
      <c r="B4" s="13" t="s">
        <v>27</v>
      </c>
      <c r="C4" s="11" t="s">
        <v>28</v>
      </c>
      <c r="D4" s="1"/>
      <c r="E4" s="1"/>
      <c r="F4" s="1"/>
      <c r="G4" s="1"/>
      <c r="H4" s="1"/>
    </row>
    <row r="5" customFormat="false" ht="21.75" hidden="false" customHeight="true" outlineLevel="0" collapsed="false">
      <c r="A5" s="9" t="s">
        <v>29</v>
      </c>
      <c r="B5" s="14" t="n">
        <f aca="false">B3*B4</f>
        <v>0</v>
      </c>
      <c r="C5" s="11" t="s">
        <v>30</v>
      </c>
      <c r="D5" s="1"/>
      <c r="E5" s="1"/>
      <c r="F5" s="1"/>
      <c r="G5" s="1"/>
      <c r="H5" s="1"/>
    </row>
    <row r="6" customFormat="false" ht="21.75" hidden="false" customHeight="true" outlineLevel="0" collapsed="false">
      <c r="A6" s="12"/>
      <c r="B6" s="15"/>
      <c r="C6" s="11"/>
      <c r="D6" s="1"/>
      <c r="E6" s="1"/>
      <c r="F6" s="1"/>
      <c r="G6" s="1"/>
      <c r="H6" s="1"/>
    </row>
    <row r="7" customFormat="false" ht="21.75" hidden="false" customHeight="true" outlineLevel="0" collapsed="false">
      <c r="A7" s="8" t="s">
        <v>31</v>
      </c>
      <c r="B7" s="8"/>
      <c r="C7" s="8"/>
      <c r="D7" s="8"/>
      <c r="E7" s="8"/>
      <c r="F7" s="1"/>
      <c r="G7" s="1"/>
      <c r="H7" s="1"/>
    </row>
    <row r="8" customFormat="false" ht="21.75" hidden="false" customHeight="true" outlineLevel="0" collapsed="false">
      <c r="A8" s="12" t="s">
        <v>32</v>
      </c>
      <c r="B8" s="16" t="s">
        <v>33</v>
      </c>
      <c r="C8" s="11" t="s">
        <v>34</v>
      </c>
      <c r="D8" s="1"/>
      <c r="E8" s="1"/>
      <c r="F8" s="1"/>
      <c r="G8" s="1"/>
      <c r="H8" s="1"/>
    </row>
    <row r="9" customFormat="false" ht="21.75" hidden="false" customHeight="true" outlineLevel="0" collapsed="false">
      <c r="A9" s="9" t="s">
        <v>35</v>
      </c>
      <c r="B9" s="10" t="s">
        <v>36</v>
      </c>
      <c r="C9" s="11"/>
      <c r="D9" s="1"/>
      <c r="E9" s="1"/>
      <c r="F9" s="1"/>
      <c r="G9" s="1"/>
      <c r="H9" s="1"/>
    </row>
    <row r="10" customFormat="false" ht="21.75" hidden="false" customHeight="true" outlineLevel="0" collapsed="false">
      <c r="A10" s="12" t="s">
        <v>37</v>
      </c>
      <c r="B10" s="16" t="s">
        <v>38</v>
      </c>
      <c r="C10" s="11"/>
      <c r="D10" s="1"/>
      <c r="E10" s="1"/>
      <c r="F10" s="1"/>
      <c r="G10" s="1"/>
      <c r="H10" s="1"/>
    </row>
    <row r="11" customFormat="false" ht="21.75" hidden="false" customHeight="true" outlineLevel="0" collapsed="false">
      <c r="A11" s="9" t="s">
        <v>39</v>
      </c>
      <c r="B11" s="10" t="s">
        <v>40</v>
      </c>
      <c r="C11" s="11"/>
      <c r="D11" s="1"/>
      <c r="E11" s="1"/>
      <c r="F11" s="1"/>
      <c r="G11" s="1"/>
      <c r="H11" s="1"/>
    </row>
    <row r="12" customFormat="false" ht="21.75" hidden="false" customHeight="true" outlineLevel="0" collapsed="false">
      <c r="A12" s="12" t="s">
        <v>41</v>
      </c>
      <c r="B12" s="16" t="s">
        <v>42</v>
      </c>
      <c r="C12" s="11" t="s">
        <v>43</v>
      </c>
      <c r="D12" s="1"/>
      <c r="E12" s="1"/>
      <c r="F12" s="1"/>
      <c r="G12" s="1"/>
      <c r="H12" s="1"/>
    </row>
    <row r="13" customFormat="false" ht="21.75" hidden="false" customHeight="true" outlineLevel="0" collapsed="false">
      <c r="A13" s="9"/>
      <c r="B13" s="17"/>
      <c r="C13" s="11"/>
      <c r="D13" s="1"/>
      <c r="E13" s="1"/>
      <c r="F13" s="1"/>
      <c r="G13" s="1"/>
      <c r="H13" s="1"/>
    </row>
    <row r="14" customFormat="false" ht="21.75" hidden="false" customHeight="true" outlineLevel="0" collapsed="false">
      <c r="A14" s="8" t="s">
        <v>44</v>
      </c>
      <c r="B14" s="8"/>
      <c r="C14" s="8"/>
      <c r="D14" s="8"/>
      <c r="E14" s="8"/>
      <c r="F14" s="1"/>
      <c r="G14" s="1"/>
      <c r="H14" s="1"/>
    </row>
    <row r="15" customFormat="false" ht="21.75" hidden="false" customHeight="true" outlineLevel="0" collapsed="false">
      <c r="A15" s="9" t="s">
        <v>45</v>
      </c>
      <c r="B15" s="18" t="s">
        <v>46</v>
      </c>
      <c r="C15" s="11" t="s">
        <v>47</v>
      </c>
      <c r="D15" s="1"/>
      <c r="E15" s="1"/>
      <c r="F15" s="1"/>
      <c r="G15" s="1"/>
      <c r="H15" s="1"/>
    </row>
    <row r="16" customFormat="false" ht="21.75" hidden="false" customHeight="true" outlineLevel="0" collapsed="false">
      <c r="A16" s="12" t="s">
        <v>48</v>
      </c>
      <c r="B16" s="13" t="s">
        <v>49</v>
      </c>
      <c r="C16" s="11" t="s">
        <v>50</v>
      </c>
      <c r="D16" s="1"/>
      <c r="E16" s="1"/>
      <c r="F16" s="1"/>
      <c r="G16" s="1"/>
      <c r="H16" s="1"/>
    </row>
    <row r="17" customFormat="false" ht="21.75" hidden="false" customHeight="true" outlineLevel="0" collapsed="false">
      <c r="A17" s="9" t="s">
        <v>51</v>
      </c>
      <c r="B17" s="18" t="s">
        <v>52</v>
      </c>
      <c r="C17" s="11" t="s">
        <v>53</v>
      </c>
      <c r="D17" s="1"/>
      <c r="E17" s="1"/>
      <c r="F17" s="1"/>
      <c r="G17" s="1"/>
      <c r="H17" s="1"/>
    </row>
    <row r="18" customFormat="false" ht="21.75" hidden="false" customHeight="true" outlineLevel="0" collapsed="false">
      <c r="A18" s="12"/>
      <c r="B18" s="15"/>
      <c r="C18" s="11"/>
      <c r="D18" s="1"/>
      <c r="E18" s="1"/>
      <c r="F18" s="1"/>
      <c r="G18" s="1"/>
      <c r="H18" s="1"/>
    </row>
    <row r="19" customFormat="false" ht="21.75" hidden="false" customHeight="true" outlineLevel="0" collapsed="false">
      <c r="A19" s="9" t="s">
        <v>54</v>
      </c>
      <c r="B19" s="17"/>
      <c r="C19" s="11"/>
      <c r="D19" s="1"/>
      <c r="E19" s="1"/>
      <c r="F19" s="1"/>
      <c r="G19" s="1"/>
      <c r="H19" s="1"/>
    </row>
    <row r="20" customFormat="false" ht="21.75" hidden="false" customHeight="true" outlineLevel="0" collapsed="false">
      <c r="A20" s="12" t="s">
        <v>55</v>
      </c>
      <c r="B20" s="13" t="s">
        <v>56</v>
      </c>
      <c r="C20" s="11"/>
      <c r="D20" s="1"/>
      <c r="E20" s="1"/>
      <c r="F20" s="1"/>
      <c r="G20" s="1"/>
      <c r="H20" s="1"/>
    </row>
    <row r="21" customFormat="false" ht="21.75" hidden="false" customHeight="true" outlineLevel="0" collapsed="false">
      <c r="A21" s="9" t="s">
        <v>57</v>
      </c>
      <c r="B21" s="18" t="s">
        <v>49</v>
      </c>
      <c r="C21" s="11"/>
      <c r="D21" s="1"/>
      <c r="E21" s="1"/>
      <c r="F21" s="1"/>
      <c r="G21" s="1"/>
      <c r="H21" s="1"/>
    </row>
    <row r="22" customFormat="false" ht="21.75" hidden="false" customHeight="true" outlineLevel="0" collapsed="false">
      <c r="A22" s="12" t="s">
        <v>58</v>
      </c>
      <c r="B22" s="13" t="s">
        <v>59</v>
      </c>
      <c r="C22" s="11"/>
      <c r="D22" s="1"/>
      <c r="E22" s="1"/>
      <c r="F22" s="1"/>
      <c r="G22" s="1"/>
      <c r="H22" s="1"/>
    </row>
    <row r="23" customFormat="false" ht="21.75" hidden="false" customHeight="true" outlineLevel="0" collapsed="false">
      <c r="A23" s="9" t="s">
        <v>60</v>
      </c>
      <c r="B23" s="18" t="s">
        <v>61</v>
      </c>
      <c r="C23" s="11"/>
      <c r="D23" s="1"/>
      <c r="E23" s="1"/>
      <c r="F23" s="1"/>
      <c r="G23" s="1"/>
      <c r="H23" s="1"/>
    </row>
    <row r="24" customFormat="false" ht="21.75" hidden="false" customHeight="true" outlineLevel="0" collapsed="false">
      <c r="A24" s="12" t="s">
        <v>62</v>
      </c>
      <c r="B24" s="13" t="s">
        <v>56</v>
      </c>
      <c r="C24" s="11"/>
      <c r="D24" s="1"/>
      <c r="E24" s="1"/>
      <c r="F24" s="1"/>
      <c r="G24" s="1"/>
      <c r="H24" s="1"/>
    </row>
    <row r="25" customFormat="false" ht="21.75" hidden="false" customHeight="true" outlineLevel="0" collapsed="false">
      <c r="A25" s="9" t="s">
        <v>63</v>
      </c>
      <c r="B25" s="14" t="n">
        <f aca="false">B19+B20+B21+B22+B23</f>
        <v>0.95</v>
      </c>
      <c r="C25" s="11" t="s">
        <v>64</v>
      </c>
      <c r="D25" s="1"/>
      <c r="E25" s="1"/>
      <c r="F25" s="1"/>
      <c r="G25" s="1"/>
      <c r="H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</row>
  </sheetData>
  <mergeCells count="4">
    <mergeCell ref="A1:F1"/>
    <mergeCell ref="A2:E2"/>
    <mergeCell ref="A7:E7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2" min="10" style="0" width="16"/>
    <col collapsed="false" customWidth="true" hidden="false" outlineLevel="0" max="13" min="13" style="0" width="20"/>
  </cols>
  <sheetData>
    <row r="1" customFormat="false" ht="36" hidden="false" customHeight="true" outlineLevel="0" collapsed="false">
      <c r="A1" s="7" t="s">
        <v>65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"/>
    </row>
    <row r="2" customFormat="false" ht="27.75" hidden="false" customHeight="true" outlineLevel="0" collapsed="false">
      <c r="A2" s="19" t="s">
        <v>66</v>
      </c>
      <c r="B2" s="19" t="s">
        <v>67</v>
      </c>
      <c r="C2" s="19" t="s">
        <v>68</v>
      </c>
      <c r="D2" s="19" t="s">
        <v>69</v>
      </c>
      <c r="E2" s="19" t="s">
        <v>70</v>
      </c>
      <c r="F2" s="19" t="s">
        <v>71</v>
      </c>
      <c r="G2" s="19" t="s">
        <v>72</v>
      </c>
      <c r="H2" s="19" t="s">
        <v>73</v>
      </c>
      <c r="I2" s="19" t="s">
        <v>74</v>
      </c>
      <c r="J2" s="19" t="s">
        <v>75</v>
      </c>
      <c r="K2" s="19" t="s">
        <v>76</v>
      </c>
      <c r="L2" s="19" t="s">
        <v>77</v>
      </c>
      <c r="M2" s="19" t="s">
        <v>78</v>
      </c>
      <c r="N2" s="1"/>
    </row>
    <row r="3" customFormat="false" ht="21.75" hidden="false" customHeight="true" outlineLevel="0" collapsed="false">
      <c r="A3" s="20" t="n">
        <v>1</v>
      </c>
      <c r="B3" s="9" t="s">
        <v>79</v>
      </c>
      <c r="C3" s="9" t="s">
        <v>80</v>
      </c>
      <c r="D3" s="9" t="s">
        <v>81</v>
      </c>
      <c r="E3" s="10" t="n">
        <v>4</v>
      </c>
      <c r="F3" s="21" t="n">
        <v>950000</v>
      </c>
      <c r="G3" s="21" t="n">
        <v>800000</v>
      </c>
      <c r="H3" s="21" t="n">
        <v>1300000</v>
      </c>
      <c r="I3" s="22" t="n">
        <f aca="false">MIN(Assumptions!$B$15,MAX(IF(E3=1,0,Assumptions!$B$16),Assumptions!$B$14*IF(E3=5,Assumptions!$B$7,IF(E3=4,Assumptions!$B$8,IF(E3=3,Assumptions!$B$9,IF(E3=2,Assumptions!$B$10,0))))))</f>
        <v>0</v>
      </c>
      <c r="J3" s="23" t="n">
        <f aca="false">F3*I3</f>
        <v>0</v>
      </c>
      <c r="K3" s="23" t="n">
        <f aca="false">F3+J3</f>
        <v>950000</v>
      </c>
      <c r="L3" s="24" t="str">
        <f aca="false">IF(K3&lt;G3,"🔴 Below Band",IF(K3&gt;H3,"🔴 Above Band","✅ In Band"))</f>
        <v>✅ In Band</v>
      </c>
      <c r="M3" s="25"/>
      <c r="N3" s="1"/>
    </row>
    <row r="4" customFormat="false" ht="21.75" hidden="false" customHeight="true" outlineLevel="0" collapsed="false">
      <c r="A4" s="26" t="n">
        <v>2</v>
      </c>
      <c r="B4" s="12" t="s">
        <v>82</v>
      </c>
      <c r="C4" s="12" t="s">
        <v>83</v>
      </c>
      <c r="D4" s="12" t="s">
        <v>84</v>
      </c>
      <c r="E4" s="16" t="n">
        <v>5</v>
      </c>
      <c r="F4" s="27" t="n">
        <v>1200000</v>
      </c>
      <c r="G4" s="27" t="n">
        <v>1000000</v>
      </c>
      <c r="H4" s="27" t="n">
        <v>1600000</v>
      </c>
      <c r="I4" s="22" t="n">
        <f aca="false">MIN(Assumptions!$B$15,MAX(IF(E4=1,0,Assumptions!$B$16),Assumptions!$B$14*IF(E4=5,Assumptions!$B$7,IF(E4=4,Assumptions!$B$8,IF(E4=3,Assumptions!$B$9,IF(E4=2,Assumptions!$B$10,0))))))</f>
        <v>0</v>
      </c>
      <c r="J4" s="23" t="n">
        <f aca="false">F4*I4</f>
        <v>0</v>
      </c>
      <c r="K4" s="23" t="n">
        <f aca="false">F4+J4</f>
        <v>1200000</v>
      </c>
      <c r="L4" s="24" t="str">
        <f aca="false">IF(K4&lt;G4,"🔴 Below Band",IF(K4&gt;H4,"🔴 Above Band","✅ In Band"))</f>
        <v>✅ In Band</v>
      </c>
      <c r="M4" s="28"/>
      <c r="N4" s="1"/>
    </row>
    <row r="5" customFormat="false" ht="21.75" hidden="false" customHeight="true" outlineLevel="0" collapsed="false">
      <c r="A5" s="20" t="n">
        <v>3</v>
      </c>
      <c r="B5" s="9" t="s">
        <v>85</v>
      </c>
      <c r="C5" s="9" t="s">
        <v>86</v>
      </c>
      <c r="D5" s="9" t="s">
        <v>87</v>
      </c>
      <c r="E5" s="10" t="n">
        <v>3</v>
      </c>
      <c r="F5" s="21" t="n">
        <v>750000</v>
      </c>
      <c r="G5" s="21" t="n">
        <v>650000</v>
      </c>
      <c r="H5" s="21" t="n">
        <v>1000000</v>
      </c>
      <c r="I5" s="22" t="n">
        <f aca="false">MIN(Assumptions!$B$15,MAX(IF(E5=1,0,Assumptions!$B$16),Assumptions!$B$14*IF(E5=5,Assumptions!$B$7,IF(E5=4,Assumptions!$B$8,IF(E5=3,Assumptions!$B$9,IF(E5=2,Assumptions!$B$10,0))))))</f>
        <v>0</v>
      </c>
      <c r="J5" s="23" t="n">
        <f aca="false">F5*I5</f>
        <v>0</v>
      </c>
      <c r="K5" s="23" t="n">
        <f aca="false">F5+J5</f>
        <v>750000</v>
      </c>
      <c r="L5" s="24" t="str">
        <f aca="false">IF(K5&lt;G5,"🔴 Below Band",IF(K5&gt;H5,"🔴 Above Band","✅ In Band"))</f>
        <v>✅ In Band</v>
      </c>
      <c r="M5" s="25"/>
      <c r="N5" s="1"/>
    </row>
    <row r="6" customFormat="false" ht="21.75" hidden="false" customHeight="true" outlineLevel="0" collapsed="false">
      <c r="A6" s="26" t="n">
        <v>4</v>
      </c>
      <c r="B6" s="12" t="s">
        <v>88</v>
      </c>
      <c r="C6" s="12" t="s">
        <v>89</v>
      </c>
      <c r="D6" s="12" t="s">
        <v>90</v>
      </c>
      <c r="E6" s="16" t="n">
        <v>4</v>
      </c>
      <c r="F6" s="27" t="n">
        <v>1100000</v>
      </c>
      <c r="G6" s="27" t="n">
        <v>900000</v>
      </c>
      <c r="H6" s="27" t="n">
        <v>1500000</v>
      </c>
      <c r="I6" s="22" t="n">
        <f aca="false">MIN(Assumptions!$B$15,MAX(IF(E6=1,0,Assumptions!$B$16),Assumptions!$B$14*IF(E6=5,Assumptions!$B$7,IF(E6=4,Assumptions!$B$8,IF(E6=3,Assumptions!$B$9,IF(E6=2,Assumptions!$B$10,0))))))</f>
        <v>0</v>
      </c>
      <c r="J6" s="23" t="n">
        <f aca="false">F6*I6</f>
        <v>0</v>
      </c>
      <c r="K6" s="23" t="n">
        <f aca="false">F6+J6</f>
        <v>1100000</v>
      </c>
      <c r="L6" s="24" t="str">
        <f aca="false">IF(K6&lt;G6,"🔴 Below Band",IF(K6&gt;H6,"🔴 Above Band","✅ In Band"))</f>
        <v>✅ In Band</v>
      </c>
      <c r="M6" s="28"/>
      <c r="N6" s="1"/>
    </row>
    <row r="7" customFormat="false" ht="21.75" hidden="false" customHeight="true" outlineLevel="0" collapsed="false">
      <c r="A7" s="20" t="n">
        <v>5</v>
      </c>
      <c r="B7" s="9" t="s">
        <v>91</v>
      </c>
      <c r="C7" s="9" t="s">
        <v>92</v>
      </c>
      <c r="D7" s="9" t="s">
        <v>93</v>
      </c>
      <c r="E7" s="10" t="n">
        <v>3</v>
      </c>
      <c r="F7" s="21" t="n">
        <v>680000</v>
      </c>
      <c r="G7" s="21" t="n">
        <v>580000</v>
      </c>
      <c r="H7" s="21" t="n">
        <v>900000</v>
      </c>
      <c r="I7" s="22" t="n">
        <f aca="false">MIN(Assumptions!$B$15,MAX(IF(E7=1,0,Assumptions!$B$16),Assumptions!$B$14*IF(E7=5,Assumptions!$B$7,IF(E7=4,Assumptions!$B$8,IF(E7=3,Assumptions!$B$9,IF(E7=2,Assumptions!$B$10,0))))))</f>
        <v>0</v>
      </c>
      <c r="J7" s="23" t="n">
        <f aca="false">F7*I7</f>
        <v>0</v>
      </c>
      <c r="K7" s="23" t="n">
        <f aca="false">F7+J7</f>
        <v>680000</v>
      </c>
      <c r="L7" s="24" t="str">
        <f aca="false">IF(K7&lt;G7,"🔴 Below Band",IF(K7&gt;H7,"🔴 Above Band","✅ In Band"))</f>
        <v>✅ In Band</v>
      </c>
      <c r="M7" s="25"/>
      <c r="N7" s="1"/>
    </row>
    <row r="8" customFormat="false" ht="21.75" hidden="false" customHeight="true" outlineLevel="0" collapsed="false">
      <c r="A8" s="26" t="n">
        <v>6</v>
      </c>
      <c r="B8" s="12" t="s">
        <v>94</v>
      </c>
      <c r="C8" s="12" t="s">
        <v>95</v>
      </c>
      <c r="D8" s="12" t="s">
        <v>96</v>
      </c>
      <c r="E8" s="16" t="n">
        <v>2</v>
      </c>
      <c r="F8" s="27" t="n">
        <v>620000</v>
      </c>
      <c r="G8" s="27" t="n">
        <v>550000</v>
      </c>
      <c r="H8" s="27" t="n">
        <v>850000</v>
      </c>
      <c r="I8" s="22" t="n">
        <f aca="false">MIN(Assumptions!$B$15,MAX(IF(E8=1,0,Assumptions!$B$16),Assumptions!$B$14*IF(E8=5,Assumptions!$B$7,IF(E8=4,Assumptions!$B$8,IF(E8=3,Assumptions!$B$9,IF(E8=2,Assumptions!$B$10,0))))))</f>
        <v>0</v>
      </c>
      <c r="J8" s="23" t="n">
        <f aca="false">F8*I8</f>
        <v>0</v>
      </c>
      <c r="K8" s="23" t="n">
        <f aca="false">F8+J8</f>
        <v>620000</v>
      </c>
      <c r="L8" s="24" t="str">
        <f aca="false">IF(K8&lt;G8,"🔴 Below Band",IF(K8&gt;H8,"🔴 Above Band","✅ In Band"))</f>
        <v>✅ In Band</v>
      </c>
      <c r="M8" s="28"/>
      <c r="N8" s="1"/>
    </row>
    <row r="9" customFormat="false" ht="21.75" hidden="false" customHeight="true" outlineLevel="0" collapsed="false">
      <c r="A9" s="20" t="n">
        <v>7</v>
      </c>
      <c r="B9" s="9" t="s">
        <v>97</v>
      </c>
      <c r="C9" s="9" t="s">
        <v>98</v>
      </c>
      <c r="D9" s="9" t="s">
        <v>81</v>
      </c>
      <c r="E9" s="10" t="n">
        <v>3</v>
      </c>
      <c r="F9" s="21" t="n">
        <v>820000</v>
      </c>
      <c r="G9" s="21" t="n">
        <v>700000</v>
      </c>
      <c r="H9" s="21" t="n">
        <v>1100000</v>
      </c>
      <c r="I9" s="22" t="n">
        <f aca="false">MIN(Assumptions!$B$15,MAX(IF(E9=1,0,Assumptions!$B$16),Assumptions!$B$14*IF(E9=5,Assumptions!$B$7,IF(E9=4,Assumptions!$B$8,IF(E9=3,Assumptions!$B$9,IF(E9=2,Assumptions!$B$10,0))))))</f>
        <v>0</v>
      </c>
      <c r="J9" s="23" t="n">
        <f aca="false">F9*I9</f>
        <v>0</v>
      </c>
      <c r="K9" s="23" t="n">
        <f aca="false">F9+J9</f>
        <v>820000</v>
      </c>
      <c r="L9" s="24" t="str">
        <f aca="false">IF(K9&lt;G9,"🔴 Below Band",IF(K9&gt;H9,"🔴 Above Band","✅ In Band"))</f>
        <v>✅ In Band</v>
      </c>
      <c r="M9" s="25"/>
      <c r="N9" s="1"/>
    </row>
    <row r="10" customFormat="false" ht="21.75" hidden="false" customHeight="true" outlineLevel="0" collapsed="false">
      <c r="A10" s="26" t="n">
        <v>8</v>
      </c>
      <c r="B10" s="12" t="s">
        <v>99</v>
      </c>
      <c r="C10" s="12" t="s">
        <v>100</v>
      </c>
      <c r="D10" s="12" t="s">
        <v>90</v>
      </c>
      <c r="E10" s="16" t="n">
        <v>4</v>
      </c>
      <c r="F10" s="27" t="n">
        <v>980000</v>
      </c>
      <c r="G10" s="27" t="n">
        <v>850000</v>
      </c>
      <c r="H10" s="27" t="n">
        <v>1400000</v>
      </c>
      <c r="I10" s="22" t="n">
        <f aca="false">MIN(Assumptions!$B$15,MAX(IF(E10=1,0,Assumptions!$B$16),Assumptions!$B$14*IF(E10=5,Assumptions!$B$7,IF(E10=4,Assumptions!$B$8,IF(E10=3,Assumptions!$B$9,IF(E10=2,Assumptions!$B$10,0))))))</f>
        <v>0</v>
      </c>
      <c r="J10" s="23" t="n">
        <f aca="false">F10*I10</f>
        <v>0</v>
      </c>
      <c r="K10" s="23" t="n">
        <f aca="false">F10+J10</f>
        <v>980000</v>
      </c>
      <c r="L10" s="24" t="str">
        <f aca="false">IF(K10&lt;G10,"🔴 Below Band",IF(K10&gt;H10,"🔴 Above Band","✅ In Band"))</f>
        <v>✅ In Band</v>
      </c>
      <c r="M10" s="28"/>
      <c r="N10" s="1"/>
    </row>
    <row r="11" customFormat="false" ht="21.75" hidden="false" customHeight="true" outlineLevel="0" collapsed="false">
      <c r="A11" s="20" t="n">
        <v>9</v>
      </c>
      <c r="B11" s="9" t="s">
        <v>101</v>
      </c>
      <c r="C11" s="9" t="s">
        <v>102</v>
      </c>
      <c r="D11" s="9" t="s">
        <v>87</v>
      </c>
      <c r="E11" s="10" t="n">
        <v>3</v>
      </c>
      <c r="F11" s="21" t="n">
        <v>580000</v>
      </c>
      <c r="G11" s="21" t="n">
        <v>500000</v>
      </c>
      <c r="H11" s="21" t="n">
        <v>800000</v>
      </c>
      <c r="I11" s="22" t="n">
        <f aca="false">MIN(Assumptions!$B$15,MAX(IF(E11=1,0,Assumptions!$B$16),Assumptions!$B$14*IF(E11=5,Assumptions!$B$7,IF(E11=4,Assumptions!$B$8,IF(E11=3,Assumptions!$B$9,IF(E11=2,Assumptions!$B$10,0))))))</f>
        <v>0</v>
      </c>
      <c r="J11" s="23" t="n">
        <f aca="false">F11*I11</f>
        <v>0</v>
      </c>
      <c r="K11" s="23" t="n">
        <f aca="false">F11+J11</f>
        <v>580000</v>
      </c>
      <c r="L11" s="24" t="str">
        <f aca="false">IF(K11&lt;G11,"🔴 Below Band",IF(K11&gt;H11,"🔴 Above Band","✅ In Band"))</f>
        <v>✅ In Band</v>
      </c>
      <c r="M11" s="25"/>
      <c r="N11" s="1"/>
    </row>
    <row r="12" customFormat="false" ht="21.75" hidden="false" customHeight="true" outlineLevel="0" collapsed="false">
      <c r="A12" s="26" t="n">
        <v>10</v>
      </c>
      <c r="B12" s="12" t="s">
        <v>103</v>
      </c>
      <c r="C12" s="12" t="s">
        <v>104</v>
      </c>
      <c r="D12" s="12" t="s">
        <v>105</v>
      </c>
      <c r="E12" s="16" t="n">
        <v>5</v>
      </c>
      <c r="F12" s="27" t="n">
        <v>1050000</v>
      </c>
      <c r="G12" s="27" t="n">
        <v>900000</v>
      </c>
      <c r="H12" s="27" t="n">
        <v>1400000</v>
      </c>
      <c r="I12" s="22" t="n">
        <f aca="false">MIN(Assumptions!$B$15,MAX(IF(E12=1,0,Assumptions!$B$16),Assumptions!$B$14*IF(E12=5,Assumptions!$B$7,IF(E12=4,Assumptions!$B$8,IF(E12=3,Assumptions!$B$9,IF(E12=2,Assumptions!$B$10,0))))))</f>
        <v>0</v>
      </c>
      <c r="J12" s="23" t="n">
        <f aca="false">F12*I12</f>
        <v>0</v>
      </c>
      <c r="K12" s="23" t="n">
        <f aca="false">F12+J12</f>
        <v>1050000</v>
      </c>
      <c r="L12" s="24" t="str">
        <f aca="false">IF(K12&lt;G12,"🔴 Below Band",IF(K12&gt;H12,"🔴 Above Band","✅ In Band"))</f>
        <v>✅ In Band</v>
      </c>
      <c r="M12" s="28"/>
      <c r="N12" s="1"/>
    </row>
    <row r="13" customFormat="false" ht="24" hidden="false" customHeight="true" outlineLevel="0" collapsed="false">
      <c r="A13" s="1"/>
      <c r="B13" s="29" t="s">
        <v>106</v>
      </c>
      <c r="C13" s="1"/>
      <c r="D13" s="1"/>
      <c r="E13" s="1"/>
      <c r="F13" s="30" t="n">
        <f aca="false">SUM(F3:F12)</f>
        <v>8730000</v>
      </c>
      <c r="G13" s="1"/>
      <c r="H13" s="1"/>
      <c r="I13" s="1"/>
      <c r="J13" s="30" t="n">
        <f aca="false">SUM(J3:J12)</f>
        <v>0</v>
      </c>
      <c r="K13" s="30" t="n">
        <f aca="false">SUM(K3:K12)</f>
        <v>8730000</v>
      </c>
      <c r="L13" s="1"/>
      <c r="M13" s="1"/>
      <c r="N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6" min="3" style="0" width="16"/>
  </cols>
  <sheetData>
    <row r="1" customFormat="false" ht="36" hidden="false" customHeight="true" outlineLevel="0" collapsed="false">
      <c r="A1" s="31" t="s">
        <v>107</v>
      </c>
      <c r="B1" s="31"/>
      <c r="C1" s="31"/>
      <c r="D1" s="31"/>
      <c r="E1" s="31"/>
      <c r="F1" s="31"/>
      <c r="G1" s="1"/>
      <c r="H1" s="1"/>
    </row>
    <row r="2" customFormat="false" ht="24" hidden="false" customHeight="true" outlineLevel="0" collapsed="false">
      <c r="A2" s="12" t="s">
        <v>108</v>
      </c>
      <c r="B2" s="23" t="n">
        <f aca="false">'Employee Data'!F13</f>
        <v>8730000</v>
      </c>
      <c r="C2" s="1"/>
      <c r="D2" s="1"/>
      <c r="E2" s="1"/>
      <c r="F2" s="1"/>
      <c r="G2" s="1"/>
      <c r="H2" s="1"/>
    </row>
    <row r="3" customFormat="false" ht="24" hidden="false" customHeight="true" outlineLevel="0" collapsed="false">
      <c r="A3" s="9" t="s">
        <v>109</v>
      </c>
      <c r="B3" s="22" t="str">
        <f aca="false">Assumptions!B4</f>
        <v>10%</v>
      </c>
      <c r="C3" s="1"/>
      <c r="D3" s="1"/>
      <c r="E3" s="1"/>
      <c r="F3" s="1"/>
      <c r="G3" s="1"/>
      <c r="H3" s="1"/>
    </row>
    <row r="4" customFormat="false" ht="24" hidden="false" customHeight="true" outlineLevel="0" collapsed="false">
      <c r="A4" s="12" t="s">
        <v>110</v>
      </c>
      <c r="B4" s="23" t="n">
        <f aca="false">B2*B3</f>
        <v>873000</v>
      </c>
      <c r="C4" s="1"/>
      <c r="D4" s="1"/>
      <c r="E4" s="1"/>
      <c r="F4" s="1"/>
      <c r="G4" s="1"/>
      <c r="H4" s="1"/>
    </row>
    <row r="5" customFormat="false" ht="24" hidden="false" customHeight="true" outlineLevel="0" collapsed="false">
      <c r="A5" s="9" t="s">
        <v>111</v>
      </c>
      <c r="B5" s="23" t="n">
        <f aca="false">'Employee Data'!J13</f>
        <v>0</v>
      </c>
      <c r="C5" s="1"/>
      <c r="D5" s="1"/>
      <c r="E5" s="1"/>
      <c r="F5" s="1"/>
      <c r="G5" s="1"/>
      <c r="H5" s="1"/>
    </row>
    <row r="6" customFormat="false" ht="24" hidden="false" customHeight="true" outlineLevel="0" collapsed="false">
      <c r="A6" s="12" t="s">
        <v>112</v>
      </c>
      <c r="B6" s="23" t="n">
        <f aca="false">B4-B5</f>
        <v>873000</v>
      </c>
      <c r="C6" s="1"/>
      <c r="D6" s="1"/>
      <c r="E6" s="1"/>
      <c r="F6" s="1"/>
      <c r="G6" s="1"/>
      <c r="H6" s="1"/>
    </row>
    <row r="7" customFormat="false" ht="24" hidden="false" customHeight="true" outlineLevel="0" collapsed="false">
      <c r="A7" s="9" t="s">
        <v>113</v>
      </c>
      <c r="B7" s="22" t="n">
        <f aca="false">IFERROR(B5/B4,"—")</f>
        <v>0</v>
      </c>
      <c r="C7" s="1"/>
      <c r="D7" s="1"/>
      <c r="E7" s="1"/>
      <c r="F7" s="1"/>
      <c r="G7" s="1"/>
      <c r="H7" s="1"/>
    </row>
    <row r="8" customFormat="false" ht="24" hidden="false" customHeight="true" outlineLevel="0" collapsed="false">
      <c r="A8" s="12" t="s">
        <v>114</v>
      </c>
      <c r="B8" s="24" t="str">
        <f aca="false">IF(B6&gt;1,"🔴 OVER BUDGET",IF(B6&gt;0.95,"🟡 NEAR LIMIT","✅ Within Budget"))</f>
        <v>🔴 OVER BUDGET</v>
      </c>
      <c r="C8" s="1"/>
      <c r="D8" s="1"/>
      <c r="E8" s="1"/>
      <c r="F8" s="1"/>
      <c r="G8" s="1"/>
      <c r="H8" s="1"/>
    </row>
    <row r="9" customFormat="false" ht="24" hidden="false" customHeight="tru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24" hidden="false" customHeight="true" outlineLevel="0" collapsed="false">
      <c r="A10" s="12" t="s">
        <v>115</v>
      </c>
      <c r="B10" s="24"/>
      <c r="C10" s="1"/>
      <c r="D10" s="1"/>
      <c r="E10" s="1"/>
      <c r="F10" s="1"/>
      <c r="G10" s="1"/>
      <c r="H10" s="1"/>
    </row>
    <row r="11" customFormat="false" ht="24" hidden="false" customHeight="true" outlineLevel="0" collapsed="false">
      <c r="A11" s="9" t="s">
        <v>116</v>
      </c>
      <c r="B11" s="32" t="n">
        <f aca="false">COUNTIF('Employee Data'!E3:E12,5)</f>
        <v>2</v>
      </c>
      <c r="C11" s="1"/>
      <c r="D11" s="1"/>
      <c r="E11" s="1"/>
      <c r="F11" s="1"/>
      <c r="G11" s="1"/>
      <c r="H11" s="1"/>
    </row>
    <row r="12" customFormat="false" ht="24" hidden="false" customHeight="true" outlineLevel="0" collapsed="false">
      <c r="A12" s="12" t="s">
        <v>117</v>
      </c>
      <c r="B12" s="32" t="n">
        <f aca="false">COUNTIF('Employee Data'!E3:E12,4)</f>
        <v>3</v>
      </c>
      <c r="C12" s="1"/>
      <c r="D12" s="1"/>
      <c r="E12" s="1"/>
      <c r="F12" s="1"/>
      <c r="G12" s="1"/>
      <c r="H12" s="1"/>
    </row>
    <row r="13" customFormat="false" ht="24" hidden="false" customHeight="true" outlineLevel="0" collapsed="false">
      <c r="A13" s="9" t="s">
        <v>118</v>
      </c>
      <c r="B13" s="32" t="n">
        <f aca="false">COUNTIF('Employee Data'!E3:E12,3)</f>
        <v>4</v>
      </c>
      <c r="C13" s="1"/>
      <c r="D13" s="1"/>
      <c r="E13" s="1"/>
      <c r="F13" s="1"/>
      <c r="G13" s="1"/>
      <c r="H13" s="1"/>
    </row>
    <row r="14" customFormat="false" ht="24" hidden="false" customHeight="true" outlineLevel="0" collapsed="false">
      <c r="A14" s="12" t="s">
        <v>119</v>
      </c>
      <c r="B14" s="32" t="n">
        <f aca="false">COUNTIF('Employee Data'!E3:E12,2)</f>
        <v>1</v>
      </c>
      <c r="C14" s="1"/>
      <c r="D14" s="1"/>
      <c r="E14" s="1"/>
      <c r="F14" s="1"/>
      <c r="G14" s="1"/>
      <c r="H14" s="1"/>
    </row>
    <row r="15" customFormat="false" ht="24" hidden="false" customHeight="true" outlineLevel="0" collapsed="false">
      <c r="A15" s="9" t="s">
        <v>120</v>
      </c>
      <c r="B15" s="32" t="n">
        <f aca="false">COUNTIF('Employee Data'!E3:E12,1)</f>
        <v>0</v>
      </c>
      <c r="C15" s="1"/>
      <c r="D15" s="1"/>
      <c r="E15" s="1"/>
      <c r="F15" s="1"/>
      <c r="G15" s="1"/>
      <c r="H15" s="1"/>
    </row>
    <row r="16" customFormat="false" ht="24" hidden="false" customHeight="true" outlineLevel="0" collapsed="false">
      <c r="A16" s="12" t="s">
        <v>121</v>
      </c>
      <c r="B16" s="32" t="n">
        <f aca="false">COUNTA('Employee Data'!B3:B12)</f>
        <v>10</v>
      </c>
      <c r="C16" s="1"/>
      <c r="D16" s="1"/>
      <c r="E16" s="1"/>
      <c r="F16" s="1"/>
      <c r="G16" s="1"/>
      <c r="H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2026-05-30T20:10:17Z</dcterms:created>
  <dc:creator>openpyxl</dc:creator>
  <dc:description/>
  <dc:language>en-US</dc:language>
  <cp:lastModifiedBy/>
  <dcterms:modified xsi:type="dcterms:W3CDTF">2026-05-30T20:10:17Z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