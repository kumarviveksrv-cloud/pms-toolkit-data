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any OKRs" sheetId="2" state="visible" r:id="rId4"/>
    <sheet name="Team OKRs" sheetId="3" state="visible" r:id="rId5"/>
    <sheet name="Individual OKR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<sst xmlns="http://schemas.openxmlformats.org/spreadsheetml/2006/main" count="143" uniqueCount="113">
  <si>
    <t xml:space="preserve">🧭  VIRORAH PMS — OKR PLANNER</t>
  </si>
  <si>
    <t xml:space="preserve">Objective &amp; Key Results Tracker with Cascade Alignment</t>
  </si>
  <si>
    <t xml:space="preserve">HOW TO USE</t>
  </si>
  <si>
    <t xml:space="preserve">Step 1</t>
  </si>
  <si>
    <t xml:space="preserve">Go to the "Company OKRs" sheet and enter 1-3 company-level Objectives with 2-3 Key Results each.</t>
  </si>
  <si>
    <t xml:space="preserve">Step 2</t>
  </si>
  <si>
    <t xml:space="preserve">Go to "Team OKRs" and enter your team objectives. Link each to a Company Objective using the dropdown.</t>
  </si>
  <si>
    <t xml:space="preserve">Step 3</t>
  </si>
  <si>
    <t xml:space="preserve">Go to "Individual OKRs" and enter individual KRs. Link to a Team Objective.</t>
  </si>
  <si>
    <t xml:space="preserve">Step 4</t>
  </si>
  <si>
    <t xml:space="preserve">Update the Progress % column weekly. The Health Score auto-calculates.</t>
  </si>
  <si>
    <t xml:space="preserve">Step 5</t>
  </si>
  <si>
    <t xml:space="preserve">The Dashboard sheet shows you a live summary of OKR health across all levels.</t>
  </si>
  <si>
    <t xml:space="preserve">COLOR CODE</t>
  </si>
  <si>
    <t xml:space="preserve">Blue text</t>
  </si>
  <si>
    <t xml:space="preserve">Black text</t>
  </si>
  <si>
    <t xml:space="preserve">Green text</t>
  </si>
  <si>
    <t xml:space="preserve">RATING SCALE</t>
  </si>
  <si>
    <t xml:space="preserve">0-30%</t>
  </si>
  <si>
    <t xml:space="preserve">At Risk — needs immediate attention</t>
  </si>
  <si>
    <t xml:space="preserve">31-60%</t>
  </si>
  <si>
    <t xml:space="preserve">In Progress — on track but needs monitoring</t>
  </si>
  <si>
    <t xml:space="preserve">61-80%</t>
  </si>
  <si>
    <t xml:space="preserve">On Track — good progress</t>
  </si>
  <si>
    <t xml:space="preserve">81-100%</t>
  </si>
  <si>
    <t xml:space="preserve">Achieved / Exceeded</t>
  </si>
  <si>
    <t xml:space="preserve">🏢  COMPANY OKRs</t>
  </si>
  <si>
    <t xml:space="preserve">#</t>
  </si>
  <si>
    <t xml:space="preserve">Objective</t>
  </si>
  <si>
    <t xml:space="preserve">Key Result</t>
  </si>
  <si>
    <t xml:space="preserve">Owner</t>
  </si>
  <si>
    <t xml:space="preserve">Q / Period</t>
  </si>
  <si>
    <t xml:space="preserve">Target</t>
  </si>
  <si>
    <t xml:space="preserve">Current</t>
  </si>
  <si>
    <t xml:space="preserve">Progress %</t>
  </si>
  <si>
    <t xml:space="preserve">Health</t>
  </si>
  <si>
    <t xml:space="preserve">Status</t>
  </si>
  <si>
    <t xml:space="preserve">Become the #1 HR EdTech platform in India</t>
  </si>
  <si>
    <t xml:space="preserve">Reach 10,000 active Pro subscribers</t>
  </si>
  <si>
    <t xml:space="preserve">CEO</t>
  </si>
  <si>
    <t xml:space="preserve">Q3 2026</t>
  </si>
  <si>
    <t xml:space="preserve">Achieve NPS score of 60+</t>
  </si>
  <si>
    <t xml:space="preserve">Head of Product</t>
  </si>
  <si>
    <t xml:space="preserve">Launch in 3 new international markets</t>
  </si>
  <si>
    <t xml:space="preserve">Head of Growth</t>
  </si>
  <si>
    <t xml:space="preserve">Q4 2026</t>
  </si>
  <si>
    <t xml:space="preserve">Build a world-class product team</t>
  </si>
  <si>
    <t xml:space="preserve">Hire 8 senior engineers by Q3</t>
  </si>
  <si>
    <t xml:space="preserve">CHRO</t>
  </si>
  <si>
    <t xml:space="preserve">Reduce time-to-hire below 30 days</t>
  </si>
  <si>
    <t xml:space="preserve">Achieve financial sustainability</t>
  </si>
  <si>
    <t xml:space="preserve">Hit ₹50L ARR by end of year</t>
  </si>
  <si>
    <t xml:space="preserve">CFO</t>
  </si>
  <si>
    <t xml:space="preserve">Keep monthly burn below ₹8L</t>
  </si>
  <si>
    <t xml:space="preserve">👥  TEAM OKRs</t>
  </si>
  <si>
    <t xml:space="preserve">Team</t>
  </si>
  <si>
    <t xml:space="preserve">Linked Company Obj #</t>
  </si>
  <si>
    <t xml:space="preserve">Team Objective</t>
  </si>
  <si>
    <t xml:space="preserve">Notes</t>
  </si>
  <si>
    <t xml:space="preserve">HR Product</t>
  </si>
  <si>
    <t xml:space="preserve">1</t>
  </si>
  <si>
    <t xml:space="preserve">Build the best PMS learning platform</t>
  </si>
  <si>
    <t xml:space="preserve">Launch Goal Diagnostic Lab feature</t>
  </si>
  <si>
    <t xml:space="preserve">Product Lead</t>
  </si>
  <si>
    <t xml:space="preserve">Ship Bias Audit module</t>
  </si>
  <si>
    <t xml:space="preserve">Engineering</t>
  </si>
  <si>
    <t xml:space="preserve">Growth</t>
  </si>
  <si>
    <t xml:space="preserve">Acquire 1000 Pro subscribers in Q3</t>
  </si>
  <si>
    <t xml:space="preserve">Run 15-post LinkedIn campaign</t>
  </si>
  <si>
    <t xml:space="preserve">Marketing</t>
  </si>
  <si>
    <t xml:space="preserve">15</t>
  </si>
  <si>
    <t xml:space="preserve">Activate Gumroad international payments</t>
  </si>
  <si>
    <t xml:space="preserve">Founder</t>
  </si>
  <si>
    <t xml:space="preserve">Operations</t>
  </si>
  <si>
    <t xml:space="preserve">2</t>
  </si>
  <si>
    <t xml:space="preserve">Reduce customer support load by 40%</t>
  </si>
  <si>
    <t xml:space="preserve">Publish 20 help articles</t>
  </si>
  <si>
    <t xml:space="preserve">CS Lead</t>
  </si>
  <si>
    <t xml:space="preserve">20</t>
  </si>
  <si>
    <t xml:space="preserve">👤  INDIVIDUAL OKRs</t>
  </si>
  <si>
    <t xml:space="preserve">Employee</t>
  </si>
  <si>
    <t xml:space="preserve">Role</t>
  </si>
  <si>
    <t xml:space="preserve">Linked Team Obj</t>
  </si>
  <si>
    <t xml:space="preserve">Metric</t>
  </si>
  <si>
    <t xml:space="preserve">Manager Notes</t>
  </si>
  <si>
    <t xml:space="preserve">Priya Sharma</t>
  </si>
  <si>
    <t xml:space="preserve">Sr. HRBP</t>
  </si>
  <si>
    <t xml:space="preserve">Build best PMS platform</t>
  </si>
  <si>
    <t xml:space="preserve">Complete Goal Diagnostic Lab testing</t>
  </si>
  <si>
    <t xml:space="preserve">Features tested</t>
  </si>
  <si>
    <t xml:space="preserve">Rahul Mehta</t>
  </si>
  <si>
    <t xml:space="preserve">Product Manager</t>
  </si>
  <si>
    <t xml:space="preserve">Define Bias Audit feature spec</t>
  </si>
  <si>
    <t xml:space="preserve">Spec pages</t>
  </si>
  <si>
    <t xml:space="preserve">Ananya Kumar</t>
  </si>
  <si>
    <t xml:space="preserve">Growth Manager</t>
  </si>
  <si>
    <t xml:space="preserve">Acquire 1000 Pro subscribers</t>
  </si>
  <si>
    <t xml:space="preserve">Publish LinkedIn posts</t>
  </si>
  <si>
    <t xml:space="preserve">Posts published</t>
  </si>
  <si>
    <t xml:space="preserve">Vikram Singh</t>
  </si>
  <si>
    <t xml:space="preserve">Engineer</t>
  </si>
  <si>
    <t xml:space="preserve">Ship PDF download feature</t>
  </si>
  <si>
    <t xml:space="preserve">Modules shipped</t>
  </si>
  <si>
    <t xml:space="preserve">Deepika Nair</t>
  </si>
  <si>
    <t xml:space="preserve">Reduce support load</t>
  </si>
  <si>
    <t xml:space="preserve">Write help articles</t>
  </si>
  <si>
    <t xml:space="preserve">Articles published</t>
  </si>
  <si>
    <t xml:space="preserve">📊  OKR HEALTH DASHBOARD</t>
  </si>
  <si>
    <t xml:space="preserve">Live summary — update progress in each sheet to see scores refresh here</t>
  </si>
  <si>
    <t xml:space="preserve">Company OKRs — Avg Progress</t>
  </si>
  <si>
    <t xml:space="preserve">Team OKRs — Avg Progress</t>
  </si>
  <si>
    <t xml:space="preserve">Individual OKRs — Avg Progress</t>
  </si>
  <si>
    <t xml:space="preserve">ℹ️  Update the Current values in Company OKRs, Team OKRs, and Individual OKRs sheets — this dashboard refreshes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</si>
</sst>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4F3FF"/>
      <name val="Arial"/>
      <family val="0"/>
      <charset val="1"/>
    </font>
    <font>
      <sz val="11"/>
      <color rgb="FFA5B4FC"/>
      <name val="Arial"/>
      <family val="0"/>
      <charset val="1"/>
    </font>
    <font>
      <b val="true"/>
      <sz val="11"/>
      <color rgb="FFC4B5FD"/>
      <name val="Arial"/>
      <family val="0"/>
      <charset val="1"/>
    </font>
    <font>
      <b val="true"/>
      <sz val="10"/>
      <color rgb="FFC4B5FD"/>
      <name val="Arial"/>
      <family val="0"/>
      <charset val="1"/>
    </font>
    <font>
      <sz val="10"/>
      <color rgb="FFE0E0FF"/>
      <name val="Arial"/>
      <family val="0"/>
      <charset val="1"/>
    </font>
    <font>
      <b val="true"/>
      <sz val="16"/>
      <color rgb="FFF4F3FF"/>
      <name val="Arial"/>
      <family val="0"/>
      <charset val="1"/>
    </font>
    <font>
      <b val="true"/>
      <sz val="10"/>
      <color rgb="FFF4F3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A5B4FC"/>
      <name val="Arial"/>
      <family val="0"/>
      <charset val="1"/>
    </font>
    <font>
      <b val="true"/>
      <sz val="10"/>
      <color rgb="FFA5B4FC"/>
      <name val="Arial"/>
      <family val="0"/>
      <charset val="1"/>
    </font>
    <font>
      <b val="true"/>
      <sz val="24"/>
      <color rgb="FFF4F3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0B1E"/>
        <bgColor rgb="FF000000"/>
      </patternFill>
    </fill>
    <fill>
      <patternFill patternType="solid">
        <fgColor rgb="FF2D2B52"/>
        <bgColor rgb="FF3D3B6E"/>
      </patternFill>
    </fill>
    <fill>
      <patternFill patternType="solid">
        <fgColor rgb="FF6366F1"/>
        <bgColor rgb="FF7C3AED"/>
      </patternFill>
    </fill>
    <fill>
      <patternFill patternType="solid">
        <fgColor rgb="FF3D3B6E"/>
        <bgColor rgb="FF2D2B52"/>
      </patternFill>
    </fill>
    <fill>
      <patternFill patternType="solid">
        <fgColor rgb="FF1A1740"/>
        <bgColor rgb="FF0D0B1E"/>
      </patternFill>
    </fill>
    <fill>
      <patternFill patternType="solid">
        <fgColor rgb="FF7C3AED"/>
        <bgColor rgb="FF6366F1"/>
      </patternFill>
    </fill>
    <fill>
      <patternFill patternType="solid">
        <fgColor rgb="FF10B981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F4D8A"/>
      </left>
      <right style="thin">
        <color rgb="FF4F4D8A"/>
      </right>
      <top style="thin">
        <color rgb="FF4F4D8A"/>
      </top>
      <bottom style="thin">
        <color rgb="FF4F4D8A"/>
      </bottom>
      <diagonal/>
    </border>
    <border diagonalUp="false" diagonalDown="false">
      <left style="thin">
        <color rgb="FF2D2B52"/>
      </left>
      <right style="thin">
        <color rgb="FF2D2B52"/>
      </right>
      <top style="thin">
        <color rgb="FF2D2B52"/>
      </top>
      <bottom style="thin">
        <color rgb="FF2D2B5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FCC"/>
      <rgbColor rgb="FFE0E0FF"/>
      <rgbColor rgb="FF660066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B4FC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4F4D8A"/>
      <rgbColor rgb="FF969696"/>
      <rgbColor rgb="FF1A1740"/>
      <rgbColor rgb="FF10B981"/>
      <rgbColor rgb="FF0D0B1E"/>
      <rgbColor rgb="FF333300"/>
      <rgbColor rgb="FF993300"/>
      <rgbColor rgb="FF993366"/>
      <rgbColor rgb="FF3D3B6E"/>
      <rgbColor rgb="FF2D2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8" min="4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  <c r="J2" s="1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9.5" hidden="false" customHeight="true" outlineLevel="0" collapsed="false">
      <c r="A5" s="1"/>
      <c r="B5" s="4" t="s">
        <v>2</v>
      </c>
      <c r="C5" s="4"/>
      <c r="D5" s="4"/>
      <c r="E5" s="4"/>
      <c r="F5" s="4"/>
      <c r="G5" s="4"/>
      <c r="H5" s="4"/>
      <c r="I5" s="1"/>
      <c r="J5" s="1"/>
    </row>
    <row r="6" customFormat="false" ht="19.5" hidden="false" customHeight="true" outlineLevel="0" collapsed="false">
      <c r="A6" s="1"/>
      <c r="B6" s="5" t="s">
        <v>3</v>
      </c>
      <c r="C6" s="6" t="s">
        <v>4</v>
      </c>
      <c r="D6" s="6"/>
      <c r="E6" s="6"/>
      <c r="F6" s="6"/>
      <c r="G6" s="6"/>
      <c r="H6" s="6"/>
      <c r="I6" s="1"/>
      <c r="J6" s="1"/>
    </row>
    <row r="7" customFormat="false" ht="19.5" hidden="false" customHeight="true" outlineLevel="0" collapsed="false">
      <c r="A7" s="1"/>
      <c r="B7" s="5" t="s">
        <v>5</v>
      </c>
      <c r="C7" s="6" t="s">
        <v>6</v>
      </c>
      <c r="D7" s="6"/>
      <c r="E7" s="6"/>
      <c r="F7" s="6"/>
      <c r="G7" s="6"/>
      <c r="H7" s="6"/>
      <c r="I7" s="1"/>
      <c r="J7" s="1"/>
    </row>
    <row r="8" customFormat="false" ht="19.5" hidden="false" customHeight="true" outlineLevel="0" collapsed="false">
      <c r="A8" s="1"/>
      <c r="B8" s="5" t="s">
        <v>7</v>
      </c>
      <c r="C8" s="6" t="s">
        <v>8</v>
      </c>
      <c r="D8" s="6"/>
      <c r="E8" s="6"/>
      <c r="F8" s="6"/>
      <c r="G8" s="6"/>
      <c r="H8" s="6"/>
      <c r="I8" s="1"/>
      <c r="J8" s="1"/>
    </row>
    <row r="9" customFormat="false" ht="19.5" hidden="false" customHeight="true" outlineLevel="0" collapsed="false">
      <c r="A9" s="1"/>
      <c r="B9" s="5" t="s">
        <v>9</v>
      </c>
      <c r="C9" s="6" t="s">
        <v>10</v>
      </c>
      <c r="D9" s="6"/>
      <c r="E9" s="6"/>
      <c r="F9" s="6"/>
      <c r="G9" s="6"/>
      <c r="H9" s="6"/>
      <c r="I9" s="1"/>
      <c r="J9" s="1"/>
    </row>
    <row r="10" customFormat="false" ht="19.5" hidden="false" customHeight="true" outlineLevel="0" collapsed="false">
      <c r="A10" s="1"/>
      <c r="B10" s="5" t="s">
        <v>11</v>
      </c>
      <c r="C10" s="6" t="s">
        <v>12</v>
      </c>
      <c r="D10" s="6"/>
      <c r="E10" s="6"/>
      <c r="F10" s="6"/>
      <c r="G10" s="6"/>
      <c r="H10" s="6"/>
      <c r="I10" s="1"/>
      <c r="J10" s="1"/>
    </row>
    <row r="11" customFormat="false" ht="19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9.5" hidden="false" customHeight="true" outlineLevel="0" collapsed="false">
      <c r="A12" s="1"/>
      <c r="B12" s="4" t="s">
        <v>13</v>
      </c>
      <c r="C12" s="4"/>
      <c r="D12" s="4"/>
      <c r="E12" s="4"/>
      <c r="F12" s="4"/>
      <c r="G12" s="4"/>
      <c r="H12" s="4"/>
      <c r="I12" s="1"/>
      <c r="J12" s="1"/>
    </row>
    <row r="13" customFormat="false" ht="19.5" hidden="false" customHeight="true" outlineLevel="0" collapsed="false">
      <c r="A13" s="1"/>
      <c r="B13" s="5" t="s">
        <v>14</v>
      </c>
      <c r="C13" s="6" t="e">
        <f aca="false">user input cells — fill these in</f>
        <v>#N/A</v>
      </c>
      <c r="D13" s="6"/>
      <c r="E13" s="6"/>
      <c r="F13" s="6"/>
      <c r="G13" s="6"/>
      <c r="H13" s="6"/>
      <c r="I13" s="1"/>
      <c r="J13" s="1"/>
    </row>
    <row r="14" customFormat="false" ht="19.5" hidden="false" customHeight="true" outlineLevel="0" collapsed="false">
      <c r="A14" s="1"/>
      <c r="B14" s="5" t="s">
        <v>15</v>
      </c>
      <c r="C14" s="6" t="e">
        <f aca="false">formula cells — do not edit</f>
        <v>#N/A</v>
      </c>
      <c r="D14" s="6"/>
      <c r="E14" s="6"/>
      <c r="F14" s="6"/>
      <c r="G14" s="6"/>
      <c r="H14" s="6"/>
      <c r="I14" s="1"/>
      <c r="J14" s="1"/>
    </row>
    <row r="15" customFormat="false" ht="19.5" hidden="false" customHeight="true" outlineLevel="0" collapsed="false">
      <c r="A15" s="1"/>
      <c r="B15" s="5" t="s">
        <v>16</v>
      </c>
      <c r="C15" s="6" t="e">
        <f aca="false">cross-sheet links</f>
        <v>#VALUE!</v>
      </c>
      <c r="D15" s="6"/>
      <c r="E15" s="6"/>
      <c r="F15" s="6"/>
      <c r="G15" s="6"/>
      <c r="H15" s="6"/>
      <c r="I15" s="1"/>
      <c r="J15" s="1"/>
    </row>
    <row r="16" customFormat="false" ht="19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9.5" hidden="false" customHeight="true" outlineLevel="0" collapsed="false">
      <c r="A17" s="1"/>
      <c r="B17" s="4" t="s">
        <v>17</v>
      </c>
      <c r="C17" s="4"/>
      <c r="D17" s="4"/>
      <c r="E17" s="4"/>
      <c r="F17" s="4"/>
      <c r="G17" s="4"/>
      <c r="H17" s="4"/>
      <c r="I17" s="1"/>
      <c r="J17" s="1"/>
    </row>
    <row r="18" customFormat="false" ht="19.5" hidden="false" customHeight="true" outlineLevel="0" collapsed="false">
      <c r="A18" s="1"/>
      <c r="B18" s="5" t="s">
        <v>18</v>
      </c>
      <c r="C18" s="6" t="s">
        <v>19</v>
      </c>
      <c r="D18" s="6"/>
      <c r="E18" s="6"/>
      <c r="F18" s="6"/>
      <c r="G18" s="6"/>
      <c r="H18" s="6"/>
      <c r="I18" s="1"/>
      <c r="J18" s="1"/>
    </row>
    <row r="19" customFormat="false" ht="19.5" hidden="false" customHeight="true" outlineLevel="0" collapsed="false">
      <c r="A19" s="1"/>
      <c r="B19" s="5" t="s">
        <v>20</v>
      </c>
      <c r="C19" s="6" t="s">
        <v>21</v>
      </c>
      <c r="D19" s="6"/>
      <c r="E19" s="6"/>
      <c r="F19" s="6"/>
      <c r="G19" s="6"/>
      <c r="H19" s="6"/>
      <c r="I19" s="1"/>
      <c r="J19" s="1"/>
    </row>
    <row r="20" customFormat="false" ht="19.5" hidden="false" customHeight="true" outlineLevel="0" collapsed="false">
      <c r="A20" s="1"/>
      <c r="B20" s="5" t="s">
        <v>22</v>
      </c>
      <c r="C20" s="6" t="s">
        <v>23</v>
      </c>
      <c r="D20" s="6"/>
      <c r="E20" s="6"/>
      <c r="F20" s="6"/>
      <c r="G20" s="6"/>
      <c r="H20" s="6"/>
      <c r="I20" s="1"/>
      <c r="J20" s="1"/>
    </row>
    <row r="21" customFormat="false" ht="19.5" hidden="false" customHeight="true" outlineLevel="0" collapsed="false">
      <c r="A21" s="1"/>
      <c r="B21" s="5" t="s">
        <v>24</v>
      </c>
      <c r="C21" s="6" t="s">
        <v>25</v>
      </c>
      <c r="D21" s="6"/>
      <c r="E21" s="6"/>
      <c r="F21" s="6"/>
      <c r="G21" s="6"/>
      <c r="H21" s="6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17">
    <mergeCell ref="B2:H2"/>
    <mergeCell ref="B3:H3"/>
    <mergeCell ref="B5:H5"/>
    <mergeCell ref="C6:H6"/>
    <mergeCell ref="C7:H7"/>
    <mergeCell ref="C8:H8"/>
    <mergeCell ref="C9:H9"/>
    <mergeCell ref="C10:H10"/>
    <mergeCell ref="B12:H12"/>
    <mergeCell ref="C13:H13"/>
    <mergeCell ref="C14:H14"/>
    <mergeCell ref="C15:H15"/>
    <mergeCell ref="B17:H17"/>
    <mergeCell ref="C18:H18"/>
    <mergeCell ref="C19:H19"/>
    <mergeCell ref="C20:H20"/>
    <mergeCell ref="C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10" min="6" style="0" width="14"/>
  </cols>
  <sheetData>
    <row r="1" customFormat="false" ht="36" hidden="false" customHeight="true" outlineLevel="0" collapsed="false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  <c r="K1" s="1"/>
      <c r="L1" s="1"/>
    </row>
    <row r="2" customFormat="false" ht="24" hidden="false" customHeight="true" outlineLevel="0" collapsed="false">
      <c r="A2" s="8" t="s">
        <v>27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1"/>
      <c r="L2" s="1"/>
    </row>
    <row r="3" customFormat="false" ht="21.75" hidden="false" customHeight="true" outlineLevel="0" collapsed="false">
      <c r="A3" s="9" t="n">
        <v>1</v>
      </c>
      <c r="B3" s="10" t="s">
        <v>37</v>
      </c>
      <c r="C3" s="10" t="s">
        <v>38</v>
      </c>
      <c r="D3" s="10" t="s">
        <v>39</v>
      </c>
      <c r="E3" s="10" t="s">
        <v>40</v>
      </c>
      <c r="F3" s="11" t="n">
        <v>10000</v>
      </c>
      <c r="G3" s="12"/>
      <c r="H3" s="13" t="str">
        <f aca="false">IF(G3="","",G3/F3*100)</f>
        <v/>
      </c>
      <c r="I3" s="14" t="str">
        <f aca="false">IF(H3="","—",IF(H3&gt;=81,"🟢 On Track",IF(H3&gt;=61,"🟡 Monitor",IF(H3&gt;=31,"🟠 At Risk","🔴 Off Track"))))</f>
        <v>—</v>
      </c>
      <c r="J3" s="14" t="str">
        <f aca="false">IF(H3="","",IF(H3&gt;=100,"✅ Achieved",IF(H3&gt;=61,"🔄 In Progress","⚠️ Needs Attention")))</f>
        <v/>
      </c>
      <c r="K3" s="1"/>
      <c r="L3" s="1"/>
    </row>
    <row r="4" customFormat="false" ht="21.75" hidden="false" customHeight="true" outlineLevel="0" collapsed="false">
      <c r="A4" s="15" t="n">
        <v>1</v>
      </c>
      <c r="B4" s="16"/>
      <c r="C4" s="16" t="s">
        <v>41</v>
      </c>
      <c r="D4" s="16" t="s">
        <v>42</v>
      </c>
      <c r="E4" s="16" t="s">
        <v>40</v>
      </c>
      <c r="F4" s="17" t="n">
        <v>60</v>
      </c>
      <c r="G4" s="18"/>
      <c r="H4" s="13" t="str">
        <f aca="false">IF(G4="","",G4/F4*100)</f>
        <v/>
      </c>
      <c r="I4" s="14" t="str">
        <f aca="false">IF(H4="","—",IF(H4&gt;=81,"🟢 On Track",IF(H4&gt;=61,"🟡 Monitor",IF(H4&gt;=31,"🟠 At Risk","🔴 Off Track"))))</f>
        <v>—</v>
      </c>
      <c r="J4" s="14" t="str">
        <f aca="false">IF(H4="","",IF(H4&gt;=100,"✅ Achieved",IF(H4&gt;=61,"🔄 In Progress","⚠️ Needs Attention")))</f>
        <v/>
      </c>
      <c r="K4" s="1"/>
      <c r="L4" s="1"/>
    </row>
    <row r="5" customFormat="false" ht="21.75" hidden="false" customHeight="true" outlineLevel="0" collapsed="false">
      <c r="A5" s="9" t="n">
        <v>1</v>
      </c>
      <c r="B5" s="10"/>
      <c r="C5" s="10" t="s">
        <v>43</v>
      </c>
      <c r="D5" s="10" t="s">
        <v>44</v>
      </c>
      <c r="E5" s="10" t="s">
        <v>45</v>
      </c>
      <c r="F5" s="11" t="n">
        <v>3</v>
      </c>
      <c r="G5" s="12"/>
      <c r="H5" s="13" t="str">
        <f aca="false">IF(G5="","",G5/F5*100)</f>
        <v/>
      </c>
      <c r="I5" s="14" t="str">
        <f aca="false">IF(H5="","—",IF(H5&gt;=81,"🟢 On Track",IF(H5&gt;=61,"🟡 Monitor",IF(H5&gt;=31,"🟠 At Risk","🔴 Off Track"))))</f>
        <v>—</v>
      </c>
      <c r="J5" s="14" t="str">
        <f aca="false">IF(H5="","",IF(H5&gt;=100,"✅ Achieved",IF(H5&gt;=61,"🔄 In Progress","⚠️ Needs Attention")))</f>
        <v/>
      </c>
      <c r="K5" s="1"/>
      <c r="L5" s="1"/>
    </row>
    <row r="6" customFormat="false" ht="21.75" hidden="false" customHeight="true" outlineLevel="0" collapsed="false">
      <c r="A6" s="15" t="n">
        <v>2</v>
      </c>
      <c r="B6" s="16" t="s">
        <v>46</v>
      </c>
      <c r="C6" s="16" t="s">
        <v>47</v>
      </c>
      <c r="D6" s="16" t="s">
        <v>48</v>
      </c>
      <c r="E6" s="16" t="s">
        <v>40</v>
      </c>
      <c r="F6" s="17" t="n">
        <v>8</v>
      </c>
      <c r="G6" s="18"/>
      <c r="H6" s="13" t="str">
        <f aca="false">IF(G6="","",G6/F6*100)</f>
        <v/>
      </c>
      <c r="I6" s="14" t="str">
        <f aca="false">IF(H6="","—",IF(H6&gt;=81,"🟢 On Track",IF(H6&gt;=61,"🟡 Monitor",IF(H6&gt;=31,"🟠 At Risk","🔴 Off Track"))))</f>
        <v>—</v>
      </c>
      <c r="J6" s="14" t="str">
        <f aca="false">IF(H6="","",IF(H6&gt;=100,"✅ Achieved",IF(H6&gt;=61,"🔄 In Progress","⚠️ Needs Attention")))</f>
        <v/>
      </c>
      <c r="K6" s="1"/>
      <c r="L6" s="1"/>
    </row>
    <row r="7" customFormat="false" ht="21.75" hidden="false" customHeight="true" outlineLevel="0" collapsed="false">
      <c r="A7" s="9" t="n">
        <v>2</v>
      </c>
      <c r="B7" s="10"/>
      <c r="C7" s="10" t="s">
        <v>49</v>
      </c>
      <c r="D7" s="10" t="s">
        <v>48</v>
      </c>
      <c r="E7" s="10" t="s">
        <v>40</v>
      </c>
      <c r="F7" s="11" t="n">
        <v>30</v>
      </c>
      <c r="G7" s="12"/>
      <c r="H7" s="13" t="str">
        <f aca="false">IF(G7="","",G7/F7*100)</f>
        <v/>
      </c>
      <c r="I7" s="14" t="str">
        <f aca="false">IF(H7="","—",IF(H7&gt;=81,"🟢 On Track",IF(H7&gt;=61,"🟡 Monitor",IF(H7&gt;=31,"🟠 At Risk","🔴 Off Track"))))</f>
        <v>—</v>
      </c>
      <c r="J7" s="14" t="str">
        <f aca="false">IF(H7="","",IF(H7&gt;=100,"✅ Achieved",IF(H7&gt;=61,"🔄 In Progress","⚠️ Needs Attention")))</f>
        <v/>
      </c>
      <c r="K7" s="1"/>
      <c r="L7" s="1"/>
    </row>
    <row r="8" customFormat="false" ht="21.75" hidden="false" customHeight="true" outlineLevel="0" collapsed="false">
      <c r="A8" s="15" t="n">
        <v>3</v>
      </c>
      <c r="B8" s="16" t="s">
        <v>50</v>
      </c>
      <c r="C8" s="16" t="s">
        <v>51</v>
      </c>
      <c r="D8" s="16" t="s">
        <v>52</v>
      </c>
      <c r="E8" s="16" t="s">
        <v>45</v>
      </c>
      <c r="F8" s="17" t="n">
        <v>5000000</v>
      </c>
      <c r="G8" s="18"/>
      <c r="H8" s="13" t="str">
        <f aca="false">IF(G8="","",G8/F8*100)</f>
        <v/>
      </c>
      <c r="I8" s="14" t="str">
        <f aca="false">IF(H8="","—",IF(H8&gt;=81,"🟢 On Track",IF(H8&gt;=61,"🟡 Monitor",IF(H8&gt;=31,"🟠 At Risk","🔴 Off Track"))))</f>
        <v>—</v>
      </c>
      <c r="J8" s="14" t="str">
        <f aca="false">IF(H8="","",IF(H8&gt;=100,"✅ Achieved",IF(H8&gt;=61,"🔄 In Progress","⚠️ Needs Attention")))</f>
        <v/>
      </c>
      <c r="K8" s="1"/>
      <c r="L8" s="1"/>
    </row>
    <row r="9" customFormat="false" ht="21.75" hidden="false" customHeight="true" outlineLevel="0" collapsed="false">
      <c r="A9" s="9" t="n">
        <v>3</v>
      </c>
      <c r="B9" s="10"/>
      <c r="C9" s="10" t="s">
        <v>53</v>
      </c>
      <c r="D9" s="10" t="s">
        <v>52</v>
      </c>
      <c r="E9" s="10" t="s">
        <v>45</v>
      </c>
      <c r="F9" s="11" t="n">
        <v>800000</v>
      </c>
      <c r="G9" s="12"/>
      <c r="H9" s="13" t="str">
        <f aca="false">IF(G9="","",G9/F9*100)</f>
        <v/>
      </c>
      <c r="I9" s="14" t="str">
        <f aca="false">IF(H9="","—",IF(H9&gt;=81,"🟢 On Track",IF(H9&gt;=61,"🟡 Monitor",IF(H9&gt;=31,"🟠 At Risk","🔴 Off Track"))))</f>
        <v>—</v>
      </c>
      <c r="J9" s="14" t="str">
        <f aca="false">IF(H9="","",IF(H9&gt;=100,"✅ Achieved",IF(H9&gt;=61,"🔄 In Progress","⚠️ Needs Attention")))</f>
        <v/>
      </c>
      <c r="K9" s="1"/>
      <c r="L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16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36" hidden="false" customHeight="true" outlineLevel="0" collapsed="false">
      <c r="A1" s="19" t="s">
        <v>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"/>
    </row>
    <row r="2" customFormat="false" ht="24" hidden="false" customHeight="true" outlineLevel="0" collapsed="false">
      <c r="A2" s="8" t="s">
        <v>27</v>
      </c>
      <c r="B2" s="8" t="s">
        <v>55</v>
      </c>
      <c r="C2" s="8" t="s">
        <v>56</v>
      </c>
      <c r="D2" s="8" t="s">
        <v>57</v>
      </c>
      <c r="E2" s="8" t="s">
        <v>29</v>
      </c>
      <c r="F2" s="8" t="s">
        <v>30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58</v>
      </c>
      <c r="L2" s="1"/>
    </row>
    <row r="3" customFormat="false" ht="21.75" hidden="false" customHeight="true" outlineLevel="0" collapsed="false">
      <c r="A3" s="9" t="n">
        <v>1</v>
      </c>
      <c r="B3" s="10" t="s">
        <v>59</v>
      </c>
      <c r="C3" s="9" t="s">
        <v>60</v>
      </c>
      <c r="D3" s="10" t="s">
        <v>61</v>
      </c>
      <c r="E3" s="10" t="s">
        <v>62</v>
      </c>
      <c r="F3" s="10" t="s">
        <v>63</v>
      </c>
      <c r="G3" s="11" t="s">
        <v>60</v>
      </c>
      <c r="H3" s="11"/>
      <c r="I3" s="13" t="str">
        <f aca="false">IF(H3="","",H3/G3*100)</f>
        <v/>
      </c>
      <c r="J3" s="14" t="str">
        <f aca="false">IF(I3="","—",IF(I3&gt;=81,"🟢 On Track",IF(I3&gt;=61,"🟡 Monitor",IF(I3&gt;=31,"🟠 At Risk","🔴 Off Track"))))</f>
        <v>—</v>
      </c>
      <c r="K3" s="20"/>
      <c r="L3" s="1"/>
    </row>
    <row r="4" customFormat="false" ht="21.75" hidden="false" customHeight="true" outlineLevel="0" collapsed="false">
      <c r="A4" s="15" t="n">
        <v>1</v>
      </c>
      <c r="B4" s="16" t="s">
        <v>59</v>
      </c>
      <c r="C4" s="15" t="s">
        <v>60</v>
      </c>
      <c r="D4" s="16"/>
      <c r="E4" s="16" t="s">
        <v>64</v>
      </c>
      <c r="F4" s="16" t="s">
        <v>65</v>
      </c>
      <c r="G4" s="17" t="s">
        <v>60</v>
      </c>
      <c r="H4" s="17"/>
      <c r="I4" s="13" t="str">
        <f aca="false">IF(H4="","",H4/G4*100)</f>
        <v/>
      </c>
      <c r="J4" s="14" t="str">
        <f aca="false">IF(I4="","—",IF(I4&gt;=81,"🟢 On Track",IF(I4&gt;=61,"🟡 Monitor",IF(I4&gt;=31,"🟠 At Risk","🔴 Off Track"))))</f>
        <v>—</v>
      </c>
      <c r="K4" s="21"/>
      <c r="L4" s="1"/>
    </row>
    <row r="5" customFormat="false" ht="21.75" hidden="false" customHeight="true" outlineLevel="0" collapsed="false">
      <c r="A5" s="9" t="n">
        <v>2</v>
      </c>
      <c r="B5" s="10" t="s">
        <v>66</v>
      </c>
      <c r="C5" s="9" t="s">
        <v>60</v>
      </c>
      <c r="D5" s="10" t="s">
        <v>67</v>
      </c>
      <c r="E5" s="10" t="s">
        <v>68</v>
      </c>
      <c r="F5" s="10" t="s">
        <v>69</v>
      </c>
      <c r="G5" s="11" t="s">
        <v>70</v>
      </c>
      <c r="H5" s="11"/>
      <c r="I5" s="13" t="str">
        <f aca="false">IF(H5="","",H5/G5*100)</f>
        <v/>
      </c>
      <c r="J5" s="14" t="str">
        <f aca="false">IF(I5="","—",IF(I5&gt;=81,"🟢 On Track",IF(I5&gt;=61,"🟡 Monitor",IF(I5&gt;=31,"🟠 At Risk","🔴 Off Track"))))</f>
        <v>—</v>
      </c>
      <c r="K5" s="20"/>
      <c r="L5" s="1"/>
    </row>
    <row r="6" customFormat="false" ht="21.75" hidden="false" customHeight="true" outlineLevel="0" collapsed="false">
      <c r="A6" s="15" t="n">
        <v>2</v>
      </c>
      <c r="B6" s="16" t="s">
        <v>66</v>
      </c>
      <c r="C6" s="15" t="s">
        <v>60</v>
      </c>
      <c r="D6" s="16"/>
      <c r="E6" s="16" t="s">
        <v>71</v>
      </c>
      <c r="F6" s="16" t="s">
        <v>72</v>
      </c>
      <c r="G6" s="17" t="s">
        <v>60</v>
      </c>
      <c r="H6" s="17"/>
      <c r="I6" s="13" t="str">
        <f aca="false">IF(H6="","",H6/G6*100)</f>
        <v/>
      </c>
      <c r="J6" s="14" t="str">
        <f aca="false">IF(I6="","—",IF(I6&gt;=81,"🟢 On Track",IF(I6&gt;=61,"🟡 Monitor",IF(I6&gt;=31,"🟠 At Risk","🔴 Off Track"))))</f>
        <v>—</v>
      </c>
      <c r="K6" s="21"/>
      <c r="L6" s="1"/>
    </row>
    <row r="7" customFormat="false" ht="21.75" hidden="false" customHeight="true" outlineLevel="0" collapsed="false">
      <c r="A7" s="9" t="n">
        <v>3</v>
      </c>
      <c r="B7" s="10" t="s">
        <v>73</v>
      </c>
      <c r="C7" s="9" t="s">
        <v>74</v>
      </c>
      <c r="D7" s="10" t="s">
        <v>75</v>
      </c>
      <c r="E7" s="10" t="s">
        <v>76</v>
      </c>
      <c r="F7" s="10" t="s">
        <v>77</v>
      </c>
      <c r="G7" s="11" t="s">
        <v>78</v>
      </c>
      <c r="H7" s="11"/>
      <c r="I7" s="13" t="str">
        <f aca="false">IF(H7="","",H7/G7*100)</f>
        <v/>
      </c>
      <c r="J7" s="14" t="str">
        <f aca="false">IF(I7="","—",IF(I7&gt;=81,"🟢 On Track",IF(I7&gt;=61,"🟡 Monitor",IF(I7&gt;=31,"🟠 At Risk","🔴 Off Track"))))</f>
        <v>—</v>
      </c>
      <c r="K7" s="20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36" hidden="false" customHeight="true" outlineLevel="0" collapsed="false">
      <c r="A1" s="22" t="s">
        <v>79</v>
      </c>
      <c r="B1" s="22"/>
      <c r="C1" s="22"/>
      <c r="D1" s="22"/>
      <c r="E1" s="22"/>
      <c r="F1" s="22"/>
      <c r="G1" s="22"/>
      <c r="H1" s="22"/>
      <c r="I1" s="22"/>
      <c r="J1" s="22"/>
      <c r="K1" s="1"/>
    </row>
    <row r="2" customFormat="false" ht="24" hidden="false" customHeight="true" outlineLevel="0" collapsed="false">
      <c r="A2" s="8" t="s">
        <v>80</v>
      </c>
      <c r="B2" s="8" t="s">
        <v>81</v>
      </c>
      <c r="C2" s="8" t="s">
        <v>82</v>
      </c>
      <c r="D2" s="8" t="s">
        <v>29</v>
      </c>
      <c r="E2" s="8" t="s">
        <v>83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84</v>
      </c>
      <c r="K2" s="1"/>
    </row>
    <row r="3" customFormat="false" ht="21.75" hidden="false" customHeight="true" outlineLevel="0" collapsed="false">
      <c r="A3" s="10" t="s">
        <v>85</v>
      </c>
      <c r="B3" s="10" t="s">
        <v>86</v>
      </c>
      <c r="C3" s="10" t="s">
        <v>87</v>
      </c>
      <c r="D3" s="10" t="s">
        <v>88</v>
      </c>
      <c r="E3" s="10" t="s">
        <v>89</v>
      </c>
      <c r="F3" s="11" t="n">
        <v>5</v>
      </c>
      <c r="G3" s="11" t="n">
        <v>0</v>
      </c>
      <c r="H3" s="13" t="n">
        <f aca="false">IF(G3=0,0,G3/F3*100)</f>
        <v>0</v>
      </c>
      <c r="I3" s="14" t="str">
        <f aca="false">IF(H3=0,"Not Started",IF(H3&gt;=81,"🟢 On Track",IF(H3&gt;=61,"🟡 Monitor",IF(H3&gt;=31,"🟠 At Risk","🔴 Off Track"))))</f>
        <v>Not Started</v>
      </c>
      <c r="J3" s="20"/>
      <c r="K3" s="1"/>
    </row>
    <row r="4" customFormat="false" ht="21.75" hidden="false" customHeight="true" outlineLevel="0" collapsed="false">
      <c r="A4" s="16" t="s">
        <v>90</v>
      </c>
      <c r="B4" s="16" t="s">
        <v>91</v>
      </c>
      <c r="C4" s="16" t="s">
        <v>87</v>
      </c>
      <c r="D4" s="16" t="s">
        <v>92</v>
      </c>
      <c r="E4" s="16" t="s">
        <v>93</v>
      </c>
      <c r="F4" s="17" t="n">
        <v>3</v>
      </c>
      <c r="G4" s="17" t="n">
        <v>0</v>
      </c>
      <c r="H4" s="13" t="n">
        <f aca="false">IF(G4=0,0,G4/F4*100)</f>
        <v>0</v>
      </c>
      <c r="I4" s="14" t="str">
        <f aca="false">IF(H4=0,"Not Started",IF(H4&gt;=81,"🟢 On Track",IF(H4&gt;=61,"🟡 Monitor",IF(H4&gt;=31,"🟠 At Risk","🔴 Off Track"))))</f>
        <v>Not Started</v>
      </c>
      <c r="J4" s="21"/>
      <c r="K4" s="1"/>
    </row>
    <row r="5" customFormat="false" ht="21.75" hidden="false" customHeight="true" outlineLevel="0" collapsed="false">
      <c r="A5" s="10" t="s">
        <v>94</v>
      </c>
      <c r="B5" s="10" t="s">
        <v>95</v>
      </c>
      <c r="C5" s="10" t="s">
        <v>96</v>
      </c>
      <c r="D5" s="10" t="s">
        <v>97</v>
      </c>
      <c r="E5" s="10" t="s">
        <v>98</v>
      </c>
      <c r="F5" s="11" t="n">
        <v>15</v>
      </c>
      <c r="G5" s="11" t="n">
        <v>0</v>
      </c>
      <c r="H5" s="13" t="n">
        <f aca="false">IF(G5=0,0,G5/F5*100)</f>
        <v>0</v>
      </c>
      <c r="I5" s="14" t="str">
        <f aca="false">IF(H5=0,"Not Started",IF(H5&gt;=81,"🟢 On Track",IF(H5&gt;=61,"🟡 Monitor",IF(H5&gt;=31,"🟠 At Risk","🔴 Off Track"))))</f>
        <v>Not Started</v>
      </c>
      <c r="J5" s="20"/>
      <c r="K5" s="1"/>
    </row>
    <row r="6" customFormat="false" ht="21.75" hidden="false" customHeight="true" outlineLevel="0" collapsed="false">
      <c r="A6" s="16" t="s">
        <v>99</v>
      </c>
      <c r="B6" s="16" t="s">
        <v>100</v>
      </c>
      <c r="C6" s="16" t="s">
        <v>87</v>
      </c>
      <c r="D6" s="16" t="s">
        <v>101</v>
      </c>
      <c r="E6" s="16" t="s">
        <v>102</v>
      </c>
      <c r="F6" s="17" t="n">
        <v>3</v>
      </c>
      <c r="G6" s="17" t="n">
        <v>0</v>
      </c>
      <c r="H6" s="13" t="n">
        <f aca="false">IF(G6=0,0,G6/F6*100)</f>
        <v>0</v>
      </c>
      <c r="I6" s="14" t="str">
        <f aca="false">IF(H6=0,"Not Started",IF(H6&gt;=81,"🟢 On Track",IF(H6&gt;=61,"🟡 Monitor",IF(H6&gt;=31,"🟠 At Risk","🔴 Off Track"))))</f>
        <v>Not Started</v>
      </c>
      <c r="J6" s="21"/>
      <c r="K6" s="1"/>
    </row>
    <row r="7" customFormat="false" ht="21.75" hidden="false" customHeight="true" outlineLevel="0" collapsed="false">
      <c r="A7" s="10" t="s">
        <v>103</v>
      </c>
      <c r="B7" s="10" t="s">
        <v>77</v>
      </c>
      <c r="C7" s="10" t="s">
        <v>104</v>
      </c>
      <c r="D7" s="10" t="s">
        <v>105</v>
      </c>
      <c r="E7" s="10" t="s">
        <v>106</v>
      </c>
      <c r="F7" s="11" t="n">
        <v>20</v>
      </c>
      <c r="G7" s="11" t="n">
        <v>0</v>
      </c>
      <c r="H7" s="13" t="n">
        <f aca="false">IF(G7=0,0,G7/F7*100)</f>
        <v>0</v>
      </c>
      <c r="I7" s="14" t="str">
        <f aca="false">IF(H7=0,"Not Started",IF(H7&gt;=81,"🟢 On Track",IF(H7&gt;=61,"🟡 Monitor",IF(H7&gt;=31,"🟠 At Risk","🔴 Off Track"))))</f>
        <v>Not Started</v>
      </c>
      <c r="J7" s="20"/>
      <c r="K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customFormat="false" ht="1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customFormat="false" ht="1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customFormat="false" ht="1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customFormat="false" ht="1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customFormat="false" ht="1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customFormat="false" ht="1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customFormat="false" ht="1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customFormat="false" ht="1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customFormat="false" ht="1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customFormat="false" ht="1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customFormat="false" ht="1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customFormat="false" ht="1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customFormat="false" ht="1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customFormat="false" ht="1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customFormat="false" ht="1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customFormat="false" ht="1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customFormat="false" ht="1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customFormat="false" ht="1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customFormat="false" ht="1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customFormat="false" ht="1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customFormat="false" ht="1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customFormat="false" ht="1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customFormat="false" ht="1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customFormat="false" ht="1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customFormat="false" ht="1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customFormat="false" ht="1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customFormat="false" ht="1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customFormat="false" ht="1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customFormat="false" ht="1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customFormat="false" ht="1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customFormat="false" ht="1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customFormat="false" ht="1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customFormat="false" ht="1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customFormat="false" ht="1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customFormat="false" ht="1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customFormat="false" ht="1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customFormat="false" ht="1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customFormat="false" ht="1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customFormat="false" ht="1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customFormat="false" ht="1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customFormat="false" ht="1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customFormat="false" ht="1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customFormat="false" ht="1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customFormat="false" ht="1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customFormat="false" ht="1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2" hidden="false" customHeight="true" outlineLevel="0" collapsed="false">
      <c r="A2" s="1"/>
      <c r="B2" s="23" t="s">
        <v>107</v>
      </c>
      <c r="C2" s="23"/>
      <c r="D2" s="23"/>
      <c r="E2" s="23"/>
      <c r="F2" s="23"/>
      <c r="G2" s="23"/>
      <c r="H2" s="23"/>
      <c r="I2" s="23"/>
      <c r="J2" s="23"/>
      <c r="K2" s="23"/>
      <c r="L2" s="1"/>
      <c r="M2" s="1"/>
      <c r="N2" s="1"/>
    </row>
    <row r="3" customFormat="false" ht="19.5" hidden="false" customHeight="true" outlineLevel="0" collapsed="false">
      <c r="A3" s="1"/>
      <c r="B3" s="24" t="s">
        <v>108</v>
      </c>
      <c r="C3" s="24"/>
      <c r="D3" s="24"/>
      <c r="E3" s="24"/>
      <c r="F3" s="24"/>
      <c r="G3" s="24"/>
      <c r="H3" s="24"/>
      <c r="I3" s="24"/>
      <c r="J3" s="24"/>
      <c r="K3" s="24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25" t="s">
        <v>109</v>
      </c>
      <c r="C5" s="1"/>
      <c r="D5" s="1"/>
      <c r="E5" s="25" t="s">
        <v>110</v>
      </c>
      <c r="F5" s="1"/>
      <c r="G5" s="1"/>
      <c r="H5" s="25" t="s">
        <v>111</v>
      </c>
      <c r="I5" s="1"/>
      <c r="J5" s="1"/>
      <c r="K5" s="1"/>
      <c r="L5" s="1"/>
      <c r="M5" s="1"/>
      <c r="N5" s="1"/>
    </row>
    <row r="6" customFormat="false" ht="51.75" hidden="false" customHeight="true" outlineLevel="0" collapsed="false">
      <c r="A6" s="1"/>
      <c r="B6" s="26" t="str">
        <f aca="false">IFERROR(AVERAGE('Company OKRs'!H3:H20),"—")</f>
        <v>—</v>
      </c>
      <c r="C6" s="1"/>
      <c r="D6" s="1"/>
      <c r="E6" s="26" t="str">
        <f aca="false">IFERROR(AVERAGE('Team OKRs'!I3:I20),"—")</f>
        <v>—</v>
      </c>
      <c r="F6" s="1"/>
      <c r="G6" s="1"/>
      <c r="H6" s="26" t="n">
        <f aca="false">IFERROR(AVERAGE('Individual OKRs'!H3:H20),"—")</f>
        <v>0</v>
      </c>
      <c r="I6" s="1"/>
      <c r="J6" s="1"/>
      <c r="K6" s="1"/>
      <c r="L6" s="1"/>
      <c r="M6" s="1"/>
      <c r="N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27.75" hidden="false" customHeight="true" outlineLevel="0" collapsed="false">
      <c r="A8" s="1"/>
      <c r="B8" s="27" t="s">
        <v>112</v>
      </c>
      <c r="C8" s="27"/>
      <c r="D8" s="27"/>
      <c r="E8" s="27"/>
      <c r="F8" s="27"/>
      <c r="G8" s="27"/>
      <c r="H8" s="27"/>
      <c r="I8" s="27"/>
      <c r="J8" s="27"/>
      <c r="K8" s="27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</sheetData>
  <mergeCells count="3">
    <mergeCell ref="B2:K2"/>
    <mergeCell ref="B3:K3"/>
    <mergeCell ref="B8:K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2026-05-30T20:09:02Z</dcterms:created>
  <dc:creator>openpyxl</dc:creator>
  <dc:description/>
  <dc:language>en-US</dc:language>
  <cp:lastModifiedBy/>
  <dcterms:modified xsi:type="dcterms:W3CDTF">2026-05-30T20:09:03Z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